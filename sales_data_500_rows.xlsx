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ales_Data" sheetId="1" r:id="rId1"/>
    <sheet name="Project_Info" sheetId="2" r:id="rId2"/>
  </sheets>
  <definedNames>
    <definedName name="_xlnm._FilterDatabase" localSheetId="0" hidden="1">Sales_Data!$A$1:$P$501</definedName>
  </definedNames>
  <calcPr calcId="144525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18" i="1"/>
  <c r="Q4" i="1"/>
  <c r="Q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</calcChain>
</file>

<file path=xl/sharedStrings.xml><?xml version="1.0" encoding="utf-8"?>
<sst xmlns="http://schemas.openxmlformats.org/spreadsheetml/2006/main" count="4528" uniqueCount="711">
  <si>
    <t>Order_ID</t>
  </si>
  <si>
    <t>Order_Date</t>
  </si>
  <si>
    <t>Customer_ID</t>
  </si>
  <si>
    <t>Customer_Name</t>
  </si>
  <si>
    <t>Category</t>
  </si>
  <si>
    <t>Product</t>
  </si>
  <si>
    <t>Region</t>
  </si>
  <si>
    <t>City</t>
  </si>
  <si>
    <t>Quantity</t>
  </si>
  <si>
    <t>Unit_Price</t>
  </si>
  <si>
    <t>Discount</t>
  </si>
  <si>
    <t>Payment_Mode</t>
  </si>
  <si>
    <t>Salesperson</t>
  </si>
  <si>
    <t>Gross_Sales</t>
  </si>
  <si>
    <t>Discount_Amount</t>
  </si>
  <si>
    <t>Net_Sales</t>
  </si>
  <si>
    <t>ORD1059</t>
  </si>
  <si>
    <t>CUST103</t>
  </si>
  <si>
    <t>Kiran</t>
  </si>
  <si>
    <t>Furniture</t>
  </si>
  <si>
    <t>Desk</t>
  </si>
  <si>
    <t>East</t>
  </si>
  <si>
    <t>Ranchi</t>
  </si>
  <si>
    <t>Net Banking</t>
  </si>
  <si>
    <t>Neha P</t>
  </si>
  <si>
    <t>ORD1166</t>
  </si>
  <si>
    <t>CUST197</t>
  </si>
  <si>
    <t>Aarav</t>
  </si>
  <si>
    <t>Clothing</t>
  </si>
  <si>
    <t>Sneakers</t>
  </si>
  <si>
    <t>South</t>
  </si>
  <si>
    <t>Chennai</t>
  </si>
  <si>
    <t>UPI</t>
  </si>
  <si>
    <t>Vikram R</t>
  </si>
  <si>
    <t>ORD1387</t>
  </si>
  <si>
    <t>CUST181</t>
  </si>
  <si>
    <t>Nikhil</t>
  </si>
  <si>
    <t>Electronics</t>
  </si>
  <si>
    <t>Laptop</t>
  </si>
  <si>
    <t>Kavya D</t>
  </si>
  <si>
    <t>ORD1170</t>
  </si>
  <si>
    <t>CUST141</t>
  </si>
  <si>
    <t>Kavya</t>
  </si>
  <si>
    <t>Keyboard</t>
  </si>
  <si>
    <t>Card</t>
  </si>
  <si>
    <t>Rahul K</t>
  </si>
  <si>
    <t>ORD1213</t>
  </si>
  <si>
    <t>CUST116</t>
  </si>
  <si>
    <t>Table</t>
  </si>
  <si>
    <t>Mysore</t>
  </si>
  <si>
    <t>Cash</t>
  </si>
  <si>
    <t>Sneha M</t>
  </si>
  <si>
    <t>ORD1246</t>
  </si>
  <si>
    <t>CUST165</t>
  </si>
  <si>
    <t>Sneha</t>
  </si>
  <si>
    <t>Home Appliances</t>
  </si>
  <si>
    <t>Microwave</t>
  </si>
  <si>
    <t>North</t>
  </si>
  <si>
    <t>Chandigarh</t>
  </si>
  <si>
    <t>ORD1446</t>
  </si>
  <si>
    <t>CUST180</t>
  </si>
  <si>
    <t>Arjun</t>
  </si>
  <si>
    <t>Stationery</t>
  </si>
  <si>
    <t>Notebook</t>
  </si>
  <si>
    <t>ORD1077</t>
  </si>
  <si>
    <t>CUST182</t>
  </si>
  <si>
    <t>T-Shirt</t>
  </si>
  <si>
    <t>ORD1394</t>
  </si>
  <si>
    <t>CUST157</t>
  </si>
  <si>
    <t>Meera</t>
  </si>
  <si>
    <t>Cabinet</t>
  </si>
  <si>
    <t>West</t>
  </si>
  <si>
    <t>Surat</t>
  </si>
  <si>
    <t>ORD1323</t>
  </si>
  <si>
    <t>Swati</t>
  </si>
  <si>
    <t>Delhi</t>
  </si>
  <si>
    <t>ORD1397</t>
  </si>
  <si>
    <t>CUST158</t>
  </si>
  <si>
    <t>Pen Set</t>
  </si>
  <si>
    <t>ORD1085</t>
  </si>
  <si>
    <t>CUST152</t>
  </si>
  <si>
    <t>Priya</t>
  </si>
  <si>
    <t>Jacket</t>
  </si>
  <si>
    <t>Patna</t>
  </si>
  <si>
    <t>ORD1263</t>
  </si>
  <si>
    <t>CUST170</t>
  </si>
  <si>
    <t>Amit</t>
  </si>
  <si>
    <t>ORD1149</t>
  </si>
  <si>
    <t>CUST105</t>
  </si>
  <si>
    <t>Aditya</t>
  </si>
  <si>
    <t>Mouse</t>
  </si>
  <si>
    <t>Priya S</t>
  </si>
  <si>
    <t>ORD1155</t>
  </si>
  <si>
    <t>CUST129</t>
  </si>
  <si>
    <t>File Folder</t>
  </si>
  <si>
    <t>ORD1303</t>
  </si>
  <si>
    <t>CUST125</t>
  </si>
  <si>
    <t>Lucknow</t>
  </si>
  <si>
    <t>ORD1091</t>
  </si>
  <si>
    <t>Ahmedabad</t>
  </si>
  <si>
    <t>ORD1458</t>
  </si>
  <si>
    <t>CUST198</t>
  </si>
  <si>
    <t>Divya</t>
  </si>
  <si>
    <t>Bangalore</t>
  </si>
  <si>
    <t>ORD1500</t>
  </si>
  <si>
    <t>CUST107</t>
  </si>
  <si>
    <t>Pooja</t>
  </si>
  <si>
    <t>Arjun T</t>
  </si>
  <si>
    <t>ORD1334</t>
  </si>
  <si>
    <t>CUST156</t>
  </si>
  <si>
    <t>ORD1343</t>
  </si>
  <si>
    <t>CUST133</t>
  </si>
  <si>
    <t>Anil</t>
  </si>
  <si>
    <t>ORD1035</t>
  </si>
  <si>
    <t>CUST160</t>
  </si>
  <si>
    <t>Vikram</t>
  </si>
  <si>
    <t>ORD1337</t>
  </si>
  <si>
    <t>CUST150</t>
  </si>
  <si>
    <t>ORD1081</t>
  </si>
  <si>
    <t>CUST159</t>
  </si>
  <si>
    <t>Sanjay</t>
  </si>
  <si>
    <t>ORD1159</t>
  </si>
  <si>
    <t>CUST134</t>
  </si>
  <si>
    <t>Rahul</t>
  </si>
  <si>
    <t>Office Chair</t>
  </si>
  <si>
    <t>Hyderabad</t>
  </si>
  <si>
    <t>ORD1409</t>
  </si>
  <si>
    <t>Isha</t>
  </si>
  <si>
    <t>Pune</t>
  </si>
  <si>
    <t>ORD1357</t>
  </si>
  <si>
    <t>Jeans</t>
  </si>
  <si>
    <t>ORD1242</t>
  </si>
  <si>
    <t>CUST121</t>
  </si>
  <si>
    <t>ORD1464</t>
  </si>
  <si>
    <t>CUST176</t>
  </si>
  <si>
    <t>Neha</t>
  </si>
  <si>
    <t>Mobile</t>
  </si>
  <si>
    <t>ORD1058</t>
  </si>
  <si>
    <t>CUST139</t>
  </si>
  <si>
    <t>Bookshelf</t>
  </si>
  <si>
    <t>ORD1251</t>
  </si>
  <si>
    <t>CUST117</t>
  </si>
  <si>
    <t>Jaipur</t>
  </si>
  <si>
    <t>ORD1142</t>
  </si>
  <si>
    <t>CUST161</t>
  </si>
  <si>
    <t>Kettle</t>
  </si>
  <si>
    <t>ORD1197</t>
  </si>
  <si>
    <t>CUST123</t>
  </si>
  <si>
    <t>Hoodie</t>
  </si>
  <si>
    <t>ORD1441</t>
  </si>
  <si>
    <t>Mixer</t>
  </si>
  <si>
    <t>ORD1029</t>
  </si>
  <si>
    <t>CUST130</t>
  </si>
  <si>
    <t>Ananya</t>
  </si>
  <si>
    <t>Air Cooler</t>
  </si>
  <si>
    <t>ORD1496</t>
  </si>
  <si>
    <t>CUST138</t>
  </si>
  <si>
    <t>ORD1330</t>
  </si>
  <si>
    <t>CUST137</t>
  </si>
  <si>
    <t>ORD1221</t>
  </si>
  <si>
    <t>CUST113</t>
  </si>
  <si>
    <t>ORD1199</t>
  </si>
  <si>
    <t>ORD1015</t>
  </si>
  <si>
    <t>CUST144</t>
  </si>
  <si>
    <t>ORD1236</t>
  </si>
  <si>
    <t>CUST151</t>
  </si>
  <si>
    <t>Monitor</t>
  </si>
  <si>
    <t>ORD1144</t>
  </si>
  <si>
    <t>CUST109</t>
  </si>
  <si>
    <t>Backpack</t>
  </si>
  <si>
    <t>ORD1316</t>
  </si>
  <si>
    <t>CUST142</t>
  </si>
  <si>
    <t>ORD1245</t>
  </si>
  <si>
    <t>ORD1428</t>
  </si>
  <si>
    <t>ORD1346</t>
  </si>
  <si>
    <t>CUST102</t>
  </si>
  <si>
    <t>ORD1314</t>
  </si>
  <si>
    <t>CUST104</t>
  </si>
  <si>
    <t>ORD1388</t>
  </si>
  <si>
    <t>CUST196</t>
  </si>
  <si>
    <t>ORD1121</t>
  </si>
  <si>
    <t>Kolkata</t>
  </si>
  <si>
    <t>ORD1078</t>
  </si>
  <si>
    <t>CUST149</t>
  </si>
  <si>
    <t>ORD1184</t>
  </si>
  <si>
    <t>Bhubaneswar</t>
  </si>
  <si>
    <t>ORD1116</t>
  </si>
  <si>
    <t>Mumbai</t>
  </si>
  <si>
    <t>ORD1150</t>
  </si>
  <si>
    <t>CUST131</t>
  </si>
  <si>
    <t>ORD1147</t>
  </si>
  <si>
    <t>ORD1010</t>
  </si>
  <si>
    <t>CUST128</t>
  </si>
  <si>
    <t>ORD1231</t>
  </si>
  <si>
    <t>ORD1391</t>
  </si>
  <si>
    <t>CUST174</t>
  </si>
  <si>
    <t>Headphones</t>
  </si>
  <si>
    <t>ORD1244</t>
  </si>
  <si>
    <t>CUST177</t>
  </si>
  <si>
    <t>ORD1151</t>
  </si>
  <si>
    <t>CUST127</t>
  </si>
  <si>
    <t>ORD1286</t>
  </si>
  <si>
    <t>ORD1382</t>
  </si>
  <si>
    <t>CUST200</t>
  </si>
  <si>
    <t>ORD1384</t>
  </si>
  <si>
    <t>ORD1432</t>
  </si>
  <si>
    <t>ORD1006</t>
  </si>
  <si>
    <t>ORD1319</t>
  </si>
  <si>
    <t>CUST185</t>
  </si>
  <si>
    <t>ORD1140</t>
  </si>
  <si>
    <t>ORD1349</t>
  </si>
  <si>
    <t>ORD1248</t>
  </si>
  <si>
    <t>CUST112</t>
  </si>
  <si>
    <t>Vacuum Cleaner</t>
  </si>
  <si>
    <t>ORD1436</t>
  </si>
  <si>
    <t>ORD1019</t>
  </si>
  <si>
    <t>CUST187</t>
  </si>
  <si>
    <t>ORD1379</t>
  </si>
  <si>
    <t>ORD1071</t>
  </si>
  <si>
    <t>ORD1353</t>
  </si>
  <si>
    <t>ORD1125</t>
  </si>
  <si>
    <t>CUST124</t>
  </si>
  <si>
    <t>ORD1079</t>
  </si>
  <si>
    <t>CUST194</t>
  </si>
  <si>
    <t>ORD1329</t>
  </si>
  <si>
    <t>ORD1260</t>
  </si>
  <si>
    <t>ORD1148</t>
  </si>
  <si>
    <t>CUST148</t>
  </si>
  <si>
    <t>Rohan</t>
  </si>
  <si>
    <t>ORD1038</t>
  </si>
  <si>
    <t>ORD1232</t>
  </si>
  <si>
    <t>ORD1361</t>
  </si>
  <si>
    <t>CUST186</t>
  </si>
  <si>
    <t>Dress</t>
  </si>
  <si>
    <t>ORD1438</t>
  </si>
  <si>
    <t>ORD1292</t>
  </si>
  <si>
    <t>ORD1348</t>
  </si>
  <si>
    <t>ORD1402</t>
  </si>
  <si>
    <t>CUST183</t>
  </si>
  <si>
    <t>ORD1179</t>
  </si>
  <si>
    <t>CUST135</t>
  </si>
  <si>
    <t>ORD1114</t>
  </si>
  <si>
    <t>ORD1270</t>
  </si>
  <si>
    <t>ORD1482</t>
  </si>
  <si>
    <t>ORD1408</t>
  </si>
  <si>
    <t>CUST143</t>
  </si>
  <si>
    <t>ORD1434</t>
  </si>
  <si>
    <t>CUST192</t>
  </si>
  <si>
    <t>ORD1478</t>
  </si>
  <si>
    <t>ORD1160</t>
  </si>
  <si>
    <t>ORD1468</t>
  </si>
  <si>
    <t>ORD1302</t>
  </si>
  <si>
    <t>CUST172</t>
  </si>
  <si>
    <t>ORD1406</t>
  </si>
  <si>
    <t>ORD1399</t>
  </si>
  <si>
    <t>ORD1026</t>
  </si>
  <si>
    <t>ORD1165</t>
  </si>
  <si>
    <t>CUST146</t>
  </si>
  <si>
    <t>ORD1200</t>
  </si>
  <si>
    <t>ORD1095</t>
  </si>
  <si>
    <t>CUST126</t>
  </si>
  <si>
    <t>ORD1385</t>
  </si>
  <si>
    <t>CUST188</t>
  </si>
  <si>
    <t>ORD1065</t>
  </si>
  <si>
    <t>CUST169</t>
  </si>
  <si>
    <t>ORD1333</t>
  </si>
  <si>
    <t>ORD1169</t>
  </si>
  <si>
    <t>CUST162</t>
  </si>
  <si>
    <t>ORD1069</t>
  </si>
  <si>
    <t>CUST178</t>
  </si>
  <si>
    <t>ORD1266</t>
  </si>
  <si>
    <t>ORD1099</t>
  </si>
  <si>
    <t>CUST166</t>
  </si>
  <si>
    <t>ORD1367</t>
  </si>
  <si>
    <t>ORD1083</t>
  </si>
  <si>
    <t>CUST190</t>
  </si>
  <si>
    <t>ORD1461</t>
  </si>
  <si>
    <t>ORD1177</t>
  </si>
  <si>
    <t>ORD1167</t>
  </si>
  <si>
    <t>ORD1356</t>
  </si>
  <si>
    <t>ORD1173</t>
  </si>
  <si>
    <t>CUST154</t>
  </si>
  <si>
    <t>ORD1452</t>
  </si>
  <si>
    <t>ORD1307</t>
  </si>
  <si>
    <t>ORD1370</t>
  </si>
  <si>
    <t>CUST171</t>
  </si>
  <si>
    <t>ORD1460</t>
  </si>
  <si>
    <t>ORD1043</t>
  </si>
  <si>
    <t>ORD1475</t>
  </si>
  <si>
    <t>ORD1164</t>
  </si>
  <si>
    <t>ORD1457</t>
  </si>
  <si>
    <t>ORD1045</t>
  </si>
  <si>
    <t>CUST101</t>
  </si>
  <si>
    <t>Calculator</t>
  </si>
  <si>
    <t>ORD1462</t>
  </si>
  <si>
    <t>ORD1052</t>
  </si>
  <si>
    <t>ORD1234</t>
  </si>
  <si>
    <t>CUST108</t>
  </si>
  <si>
    <t>ORD1128</t>
  </si>
  <si>
    <t>ORD1359</t>
  </si>
  <si>
    <t>ORD1072</t>
  </si>
  <si>
    <t>ORD1132</t>
  </si>
  <si>
    <t>ORD1321</t>
  </si>
  <si>
    <t>ORD1127</t>
  </si>
  <si>
    <t>ORD1487</t>
  </si>
  <si>
    <t>CUST153</t>
  </si>
  <si>
    <t>ORD1104</t>
  </si>
  <si>
    <t>ORD1182</t>
  </si>
  <si>
    <t>ORD1400</t>
  </si>
  <si>
    <t>CUST119</t>
  </si>
  <si>
    <t>ORD1183</t>
  </si>
  <si>
    <t>ORD1324</t>
  </si>
  <si>
    <t>ORD1415</t>
  </si>
  <si>
    <t>CUST147</t>
  </si>
  <si>
    <t>ORD1208</t>
  </si>
  <si>
    <t>CUST136</t>
  </si>
  <si>
    <t>ORD1439</t>
  </si>
  <si>
    <t>ORD1103</t>
  </si>
  <si>
    <t>ORD1354</t>
  </si>
  <si>
    <t>ORD1376</t>
  </si>
  <si>
    <t>ORD1268</t>
  </si>
  <si>
    <t>ORD1490</t>
  </si>
  <si>
    <t>ORD1188</t>
  </si>
  <si>
    <t>ORD1372</t>
  </si>
  <si>
    <t>ORD1049</t>
  </si>
  <si>
    <t>CUST175</t>
  </si>
  <si>
    <t>ORD1421</t>
  </si>
  <si>
    <t>ORD1175</t>
  </si>
  <si>
    <t>ORD1041</t>
  </si>
  <si>
    <t>ORD1427</t>
  </si>
  <si>
    <t>ORD1117</t>
  </si>
  <si>
    <t>ORD1289</t>
  </si>
  <si>
    <t>ORD1143</t>
  </si>
  <si>
    <t>CUST189</t>
  </si>
  <si>
    <t>ORD1001</t>
  </si>
  <si>
    <t>ORD1168</t>
  </si>
  <si>
    <t>CUST106</t>
  </si>
  <si>
    <t>ORD1393</t>
  </si>
  <si>
    <t>ORD1037</t>
  </si>
  <si>
    <t>CUST122</t>
  </si>
  <si>
    <t>ORD1313</t>
  </si>
  <si>
    <t>CUST111</t>
  </si>
  <si>
    <t>ORD1075</t>
  </si>
  <si>
    <t>ORD1386</t>
  </si>
  <si>
    <t>ORD1033</t>
  </si>
  <si>
    <t>CUST118</t>
  </si>
  <si>
    <t>ORD1023</t>
  </si>
  <si>
    <t>ORD1223</t>
  </si>
  <si>
    <t>ORD1112</t>
  </si>
  <si>
    <t>CUST132</t>
  </si>
  <si>
    <t>ORD1278</t>
  </si>
  <si>
    <t>ORD1004</t>
  </si>
  <si>
    <t>ORD1280</t>
  </si>
  <si>
    <t>ORD1469</t>
  </si>
  <si>
    <t>ORD1355</t>
  </si>
  <si>
    <t>CUST167</t>
  </si>
  <si>
    <t>ORD1431</t>
  </si>
  <si>
    <t>ORD1375</t>
  </si>
  <si>
    <t>ORD1089</t>
  </si>
  <si>
    <t>ORD1235</t>
  </si>
  <si>
    <t>CUST120</t>
  </si>
  <si>
    <t>ORD1420</t>
  </si>
  <si>
    <t>ORD1088</t>
  </si>
  <si>
    <t>ORD1060</t>
  </si>
  <si>
    <t>ORD1102</t>
  </si>
  <si>
    <t>ORD1279</t>
  </si>
  <si>
    <t>ORD1009</t>
  </si>
  <si>
    <t>ORD1256</t>
  </si>
  <si>
    <t>ORD1404</t>
  </si>
  <si>
    <t>ORD1074</t>
  </si>
  <si>
    <t>ORD1491</t>
  </si>
  <si>
    <t>ORD1239</t>
  </si>
  <si>
    <t>CUST191</t>
  </si>
  <si>
    <t>ORD1202</t>
  </si>
  <si>
    <t>ORD1135</t>
  </si>
  <si>
    <t>ORD1298</t>
  </si>
  <si>
    <t>ORD1264</t>
  </si>
  <si>
    <t>ORD1217</t>
  </si>
  <si>
    <t>ORD1036</t>
  </si>
  <si>
    <t>ORD1284</t>
  </si>
  <si>
    <t>CUST163</t>
  </si>
  <si>
    <t>ORD1053</t>
  </si>
  <si>
    <t>ORD1463</t>
  </si>
  <si>
    <t>ORD1064</t>
  </si>
  <si>
    <t>CUST173</t>
  </si>
  <si>
    <t>ORD1084</t>
  </si>
  <si>
    <t>ORD1345</t>
  </si>
  <si>
    <t>ORD1322</t>
  </si>
  <si>
    <t>CUST164</t>
  </si>
  <si>
    <t>ORD1129</t>
  </si>
  <si>
    <t>ORD1374</t>
  </si>
  <si>
    <t>CUST199</t>
  </si>
  <si>
    <t>ORD1124</t>
  </si>
  <si>
    <t>ORD1205</t>
  </si>
  <si>
    <t>ORD1418</t>
  </si>
  <si>
    <t>ORD1422</t>
  </si>
  <si>
    <t>ORD1339</t>
  </si>
  <si>
    <t>ORD1120</t>
  </si>
  <si>
    <t>ORD1227</t>
  </si>
  <si>
    <t>ORD1315</t>
  </si>
  <si>
    <t>ORD1456</t>
  </si>
  <si>
    <t>ORD1340</t>
  </si>
  <si>
    <t>ORD1218</t>
  </si>
  <si>
    <t>ORD1025</t>
  </si>
  <si>
    <t>ORD1014</t>
  </si>
  <si>
    <t>ORD1134</t>
  </si>
  <si>
    <t>ORD1389</t>
  </si>
  <si>
    <t>ORD1007</t>
  </si>
  <si>
    <t>ORD1350</t>
  </si>
  <si>
    <t>ORD1326</t>
  </si>
  <si>
    <t>ORD1204</t>
  </si>
  <si>
    <t>ORD1331</t>
  </si>
  <si>
    <t>ORD1115</t>
  </si>
  <si>
    <t>ORD1419</t>
  </si>
  <si>
    <t>ORD1497</t>
  </si>
  <si>
    <t>ORD1407</t>
  </si>
  <si>
    <t>ORD1271</t>
  </si>
  <si>
    <t>ORD1003</t>
  </si>
  <si>
    <t>ORD1449</t>
  </si>
  <si>
    <t>CUST184</t>
  </si>
  <si>
    <t>ORD1447</t>
  </si>
  <si>
    <t>ORD1031</t>
  </si>
  <si>
    <t>ORD1294</t>
  </si>
  <si>
    <t>ORD1157</t>
  </si>
  <si>
    <t>ORD1267</t>
  </si>
  <si>
    <t>ORD1137</t>
  </si>
  <si>
    <t>ORD1398</t>
  </si>
  <si>
    <t>ORD1108</t>
  </si>
  <si>
    <t>ORD1109</t>
  </si>
  <si>
    <t>ORD1224</t>
  </si>
  <si>
    <t>ORD1046</t>
  </si>
  <si>
    <t>ORD1380</t>
  </si>
  <si>
    <t>ORD1476</t>
  </si>
  <si>
    <t>ORD1080</t>
  </si>
  <si>
    <t>CUST179</t>
  </si>
  <si>
    <t>ORD1358</t>
  </si>
  <si>
    <t>ORD1054</t>
  </si>
  <si>
    <t>ORD1378</t>
  </si>
  <si>
    <t>ORD1185</t>
  </si>
  <si>
    <t>ORD1352</t>
  </si>
  <si>
    <t>ORD1032</t>
  </si>
  <si>
    <t>CUST195</t>
  </si>
  <si>
    <t>ORD1477</t>
  </si>
  <si>
    <t>ORD1448</t>
  </si>
  <si>
    <t>ORD1488</t>
  </si>
  <si>
    <t>ORD1240</t>
  </si>
  <si>
    <t>ORD1133</t>
  </si>
  <si>
    <t>ORD1100</t>
  </si>
  <si>
    <t>CUST115</t>
  </si>
  <si>
    <t>ORD1076</t>
  </si>
  <si>
    <t>ORD1485</t>
  </si>
  <si>
    <t>ORD1442</t>
  </si>
  <si>
    <t>ORD1412</t>
  </si>
  <si>
    <t>CUST140</t>
  </si>
  <si>
    <t>ORD1474</t>
  </si>
  <si>
    <t>ORD1299</t>
  </si>
  <si>
    <t>ORD1123</t>
  </si>
  <si>
    <t>ORD1190</t>
  </si>
  <si>
    <t>ORD1301</t>
  </si>
  <si>
    <t>ORD1390</t>
  </si>
  <si>
    <t>ORD1138</t>
  </si>
  <si>
    <t>ORD1154</t>
  </si>
  <si>
    <t>ORD1373</t>
  </si>
  <si>
    <t>ORD1111</t>
  </si>
  <si>
    <t>ORD1153</t>
  </si>
  <si>
    <t>ORD1209</t>
  </si>
  <si>
    <t>ORD1395</t>
  </si>
  <si>
    <t>ORD1021</t>
  </si>
  <si>
    <t>ORD1020</t>
  </si>
  <si>
    <t>ORD1097</t>
  </si>
  <si>
    <t>ORD1193</t>
  </si>
  <si>
    <t>ORD1210</t>
  </si>
  <si>
    <t>ORD1317</t>
  </si>
  <si>
    <t>ORD1283</t>
  </si>
  <si>
    <t>ORD1383</t>
  </si>
  <si>
    <t>ORD1413</t>
  </si>
  <si>
    <t>ORD1437</t>
  </si>
  <si>
    <t>ORD1203</t>
  </si>
  <si>
    <t>ORD1119</t>
  </si>
  <si>
    <t>CUST114</t>
  </si>
  <si>
    <t>ORD1450</t>
  </si>
  <si>
    <t>ORD1484</t>
  </si>
  <si>
    <t>ORD1110</t>
  </si>
  <si>
    <t>ORD1253</t>
  </si>
  <si>
    <t>ORD1344</t>
  </si>
  <si>
    <t>ORD1172</t>
  </si>
  <si>
    <t>ORD1229</t>
  </si>
  <si>
    <t>ORD1241</t>
  </si>
  <si>
    <t>ORD1048</t>
  </si>
  <si>
    <t>ORD1368</t>
  </si>
  <si>
    <t>ORD1347</t>
  </si>
  <si>
    <t>ORD1465</t>
  </si>
  <si>
    <t>ORD1297</t>
  </si>
  <si>
    <t>ORD1342</t>
  </si>
  <si>
    <t>ORD1473</t>
  </si>
  <si>
    <t>ORD1237</t>
  </si>
  <si>
    <t>ORD1261</t>
  </si>
  <si>
    <t>ORD1494</t>
  </si>
  <si>
    <t>ORD1479</t>
  </si>
  <si>
    <t>ORD1044</t>
  </si>
  <si>
    <t>ORD1249</t>
  </si>
  <si>
    <t>ORD1016</t>
  </si>
  <si>
    <t>ORD1215</t>
  </si>
  <si>
    <t>ORD1145</t>
  </si>
  <si>
    <t>ORD1156</t>
  </si>
  <si>
    <t>ORD1050</t>
  </si>
  <si>
    <t>ORD1250</t>
  </si>
  <si>
    <t>ORD1272</t>
  </si>
  <si>
    <t>ORD1351</t>
  </si>
  <si>
    <t>ORD1254</t>
  </si>
  <si>
    <t>ORD1262</t>
  </si>
  <si>
    <t>ORD1061</t>
  </si>
  <si>
    <t>ORD1467</t>
  </si>
  <si>
    <t>ORD1454</t>
  </si>
  <si>
    <t>ORD1335</t>
  </si>
  <si>
    <t>ORD1259</t>
  </si>
  <si>
    <t>ORD1098</t>
  </si>
  <si>
    <t>ORD1300</t>
  </si>
  <si>
    <t>ORD1416</t>
  </si>
  <si>
    <t>ORD1017</t>
  </si>
  <si>
    <t>ORD1362</t>
  </si>
  <si>
    <t>ORD1136</t>
  </si>
  <si>
    <t>ORD1274</t>
  </si>
  <si>
    <t>ORD1055</t>
  </si>
  <si>
    <t>ORD1207</t>
  </si>
  <si>
    <t>ORD1498</t>
  </si>
  <si>
    <t>ORD1414</t>
  </si>
  <si>
    <t>ORD1101</t>
  </si>
  <si>
    <t>ORD1087</t>
  </si>
  <si>
    <t>ORD1171</t>
  </si>
  <si>
    <t>ORD1228</t>
  </si>
  <si>
    <t>ORD1276</t>
  </si>
  <si>
    <t>ORD1042</t>
  </si>
  <si>
    <t>ORD1483</t>
  </si>
  <si>
    <t>ORD1396</t>
  </si>
  <si>
    <t>ORD1466</t>
  </si>
  <si>
    <t>ORD1325</t>
  </si>
  <si>
    <t>ORD1024</t>
  </si>
  <si>
    <t>ORD1022</t>
  </si>
  <si>
    <t>ORD1206</t>
  </si>
  <si>
    <t>ORD1252</t>
  </si>
  <si>
    <t>ORD1012</t>
  </si>
  <si>
    <t>ORD1470</t>
  </si>
  <si>
    <t>ORD1443</t>
  </si>
  <si>
    <t>ORD1181</t>
  </si>
  <si>
    <t>ORD1211</t>
  </si>
  <si>
    <t>ORD1062</t>
  </si>
  <si>
    <t>ORD1225</t>
  </si>
  <si>
    <t>ORD1187</t>
  </si>
  <si>
    <t>ORD1092</t>
  </si>
  <si>
    <t>ORD1306</t>
  </si>
  <si>
    <t>ORD1194</t>
  </si>
  <si>
    <t>ORD1273</t>
  </si>
  <si>
    <t>ORD1018</t>
  </si>
  <si>
    <t>ORD1176</t>
  </si>
  <si>
    <t>ORD1277</t>
  </si>
  <si>
    <t>ORD1131</t>
  </si>
  <si>
    <t>ORD1459</t>
  </si>
  <si>
    <t>ORD1198</t>
  </si>
  <si>
    <t>CUST168</t>
  </si>
  <si>
    <t>ORD1282</t>
  </si>
  <si>
    <t>ORD1363</t>
  </si>
  <si>
    <t>ORD1162</t>
  </si>
  <si>
    <t>ORD1034</t>
  </si>
  <si>
    <t>ORD1288</t>
  </si>
  <si>
    <t>ORD1295</t>
  </si>
  <si>
    <t>ORD1472</t>
  </si>
  <si>
    <t>ORD1086</t>
  </si>
  <si>
    <t>ORD1028</t>
  </si>
  <si>
    <t>ORD1495</t>
  </si>
  <si>
    <t>ORD1320</t>
  </si>
  <si>
    <t>ORD1287</t>
  </si>
  <si>
    <t>ORD1426</t>
  </si>
  <si>
    <t>ORD1405</t>
  </si>
  <si>
    <t>ORD1401</t>
  </si>
  <si>
    <t>CUST110</t>
  </si>
  <si>
    <t>ORD1377</t>
  </si>
  <si>
    <t>ORD1275</t>
  </si>
  <si>
    <t>ORD1067</t>
  </si>
  <si>
    <t>ORD1056</t>
  </si>
  <si>
    <t>ORD1411</t>
  </si>
  <si>
    <t>ORD1146</t>
  </si>
  <si>
    <t>ORD1030</t>
  </si>
  <si>
    <t>ORD1365</t>
  </si>
  <si>
    <t>ORD1214</t>
  </si>
  <si>
    <t>ORD1180</t>
  </si>
  <si>
    <t>ORD1122</t>
  </si>
  <si>
    <t>ORD1471</t>
  </si>
  <si>
    <t>ORD1212</t>
  </si>
  <si>
    <t>ORD1222</t>
  </si>
  <si>
    <t>ORD1070</t>
  </si>
  <si>
    <t>ORD1066</t>
  </si>
  <si>
    <t>ORD1220</t>
  </si>
  <si>
    <t>ORD1189</t>
  </si>
  <si>
    <t>ORD1233</t>
  </si>
  <si>
    <t>ORD1338</t>
  </si>
  <si>
    <t>ORD1139</t>
  </si>
  <si>
    <t>ORD1174</t>
  </si>
  <si>
    <t>ORD1269</t>
  </si>
  <si>
    <t>ORD1309</t>
  </si>
  <si>
    <t>ORD1082</t>
  </si>
  <si>
    <t>ORD1186</t>
  </si>
  <si>
    <t>ORD1002</t>
  </si>
  <si>
    <t>ORD1489</t>
  </si>
  <si>
    <t>ORD1424</t>
  </si>
  <si>
    <t>ORD1455</t>
  </si>
  <si>
    <t>ORD1453</t>
  </si>
  <si>
    <t>ORD1201</t>
  </si>
  <si>
    <t>ORD1196</t>
  </si>
  <si>
    <t>ORD1247</t>
  </si>
  <si>
    <t>ORD1499</t>
  </si>
  <si>
    <t>ORD1158</t>
  </si>
  <si>
    <t>ORD1445</t>
  </si>
  <si>
    <t>ORD1195</t>
  </si>
  <si>
    <t>ORD1318</t>
  </si>
  <si>
    <t>ORD1281</t>
  </si>
  <si>
    <t>ORD1493</t>
  </si>
  <si>
    <t>ORD1073</t>
  </si>
  <si>
    <t>ORD1039</t>
  </si>
  <si>
    <t>ORD1230</t>
  </si>
  <si>
    <t>CUST155</t>
  </si>
  <si>
    <t>ORD1226</t>
  </si>
  <si>
    <t>ORD1290</t>
  </si>
  <si>
    <t>ORD1425</t>
  </si>
  <si>
    <t>ORD1480</t>
  </si>
  <si>
    <t>ORD1492</t>
  </si>
  <si>
    <t>ORD1141</t>
  </si>
  <si>
    <t>ORD1336</t>
  </si>
  <si>
    <t>ORD1255</t>
  </si>
  <si>
    <t>CUST145</t>
  </si>
  <si>
    <t>ORD1106</t>
  </si>
  <si>
    <t>ORD1311</t>
  </si>
  <si>
    <t>ORD1417</t>
  </si>
  <si>
    <t>ORD1178</t>
  </si>
  <si>
    <t>ORD1090</t>
  </si>
  <si>
    <t>ORD1312</t>
  </si>
  <si>
    <t>ORD1308</t>
  </si>
  <si>
    <t>ORD1328</t>
  </si>
  <si>
    <t>ORD1327</t>
  </si>
  <si>
    <t>ORD1304</t>
  </si>
  <si>
    <t>ORD1238</t>
  </si>
  <si>
    <t>ORD1293</t>
  </si>
  <si>
    <t>ORD1191</t>
  </si>
  <si>
    <t>ORD1440</t>
  </si>
  <si>
    <t>ORD1152</t>
  </si>
  <si>
    <t>ORD1057</t>
  </si>
  <si>
    <t>ORD1392</t>
  </si>
  <si>
    <t>ORD1094</t>
  </si>
  <si>
    <t>ORD1047</t>
  </si>
  <si>
    <t>ORD1216</t>
  </si>
  <si>
    <t>ORD1305</t>
  </si>
  <si>
    <t>ORD1093</t>
  </si>
  <si>
    <t>ORD1430</t>
  </si>
  <si>
    <t>ORD1008</t>
  </si>
  <si>
    <t>ORD1341</t>
  </si>
  <si>
    <t>ORD1481</t>
  </si>
  <si>
    <t>ORD1451</t>
  </si>
  <si>
    <t>ORD1192</t>
  </si>
  <si>
    <t>ORD1118</t>
  </si>
  <si>
    <t>ORD1296</t>
  </si>
  <si>
    <t>ORD1381</t>
  </si>
  <si>
    <t>ORD1163</t>
  </si>
  <si>
    <t>ORD1265</t>
  </si>
  <si>
    <t>ORD1435</t>
  </si>
  <si>
    <t>ORD1005</t>
  </si>
  <si>
    <t>ORD1040</t>
  </si>
  <si>
    <t>ORD1371</t>
  </si>
  <si>
    <t>ORD1105</t>
  </si>
  <si>
    <t>ORD1107</t>
  </si>
  <si>
    <t>ORD1219</t>
  </si>
  <si>
    <t>ORD1243</t>
  </si>
  <si>
    <t>ORD1063</t>
  </si>
  <si>
    <t>ORD1027</t>
  </si>
  <si>
    <t>ORD1161</t>
  </si>
  <si>
    <t>ORD1258</t>
  </si>
  <si>
    <t>ORD1113</t>
  </si>
  <si>
    <t>ORD1257</t>
  </si>
  <si>
    <t>ORD1068</t>
  </si>
  <si>
    <t>ORD1013</t>
  </si>
  <si>
    <t>ORD1366</t>
  </si>
  <si>
    <t>ORD1096</t>
  </si>
  <si>
    <t>ORD1423</t>
  </si>
  <si>
    <t>ORD1051</t>
  </si>
  <si>
    <t>ORD1285</t>
  </si>
  <si>
    <t>ORD1403</t>
  </si>
  <si>
    <t>ORD1433</t>
  </si>
  <si>
    <t>ORD1364</t>
  </si>
  <si>
    <t>ORD1332</t>
  </si>
  <si>
    <t>ORD1410</t>
  </si>
  <si>
    <t>ORD1486</t>
  </si>
  <si>
    <t>ORD1011</t>
  </si>
  <si>
    <t>ORD1429</t>
  </si>
  <si>
    <t>ORD1291</t>
  </si>
  <si>
    <t>ORD1360</t>
  </si>
  <si>
    <t>ORD1310</t>
  </si>
  <si>
    <t>ORD1369</t>
  </si>
  <si>
    <t>ORD1130</t>
  </si>
  <si>
    <t>ORD1126</t>
  </si>
  <si>
    <t>ORD1444</t>
  </si>
  <si>
    <t>Metric</t>
  </si>
  <si>
    <t>Value</t>
  </si>
  <si>
    <t>Rows</t>
  </si>
  <si>
    <t>Columns</t>
  </si>
  <si>
    <t>Date Range</t>
  </si>
  <si>
    <t>2025-01-01 to 2025-12-31</t>
  </si>
  <si>
    <t>Total Gross Sales</t>
  </si>
  <si>
    <t>Total Discount</t>
  </si>
  <si>
    <t>Total Net Sales</t>
  </si>
  <si>
    <t>Year</t>
  </si>
  <si>
    <t>Month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</si>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</sst>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topLeftCell="G1" workbookViewId="0">
      <pane ySplit="1" topLeftCell="A2" activePane="bottomLeft" state="frozen"/>
      <selection pane="bottomLeft" activeCell="T497" sqref="T497"/>
    </sheetView>
  </sheetViews>
  <sheetFormatPr defaultRowHeight="15"/>
  <cols>
    <col min="1" max="1" width="13" customWidth="1"/>
    <col min="2" max="2" width="14" customWidth="1"/>
    <col min="3" max="3" width="13" customWidth="1"/>
    <col min="4" max="4" width="16" customWidth="1"/>
    <col min="5" max="5" width="18" customWidth="1"/>
    <col min="6" max="6" width="20" customWidth="1"/>
    <col min="7" max="7" width="12" customWidth="1"/>
    <col min="8" max="8" width="16" customWidth="1"/>
    <col min="9" max="9" width="10" customWidth="1"/>
    <col min="10" max="10" width="14" customWidth="1"/>
    <col min="11" max="11" width="12" customWidth="1"/>
    <col min="12" max="13" width="16" customWidth="1"/>
    <col min="14" max="14" width="15" customWidth="1"/>
    <col min="15" max="15" width="18" customWidth="1"/>
    <col min="16" max="16" width="15" customWidth="1"/>
    <col min="19" max="19" width="13.4257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708</v>
      </c>
      <c r="R1" s="3" t="s">
        <v>709</v>
      </c>
      <c r="S1" s="3" t="s">
        <v>710</v>
      </c>
    </row>
    <row r="2" spans="1:19">
      <c r="A2" t="s">
        <v>16</v>
      </c>
      <c r="B2" s="2">
        <v>45658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</v>
      </c>
      <c r="J2">
        <v>9000</v>
      </c>
      <c r="K2">
        <v>0.1</v>
      </c>
      <c r="L2" t="s">
        <v>23</v>
      </c>
      <c r="M2" t="s">
        <v>24</v>
      </c>
      <c r="N2">
        <v>45000</v>
      </c>
      <c r="O2">
        <v>4500</v>
      </c>
      <c r="P2">
        <v>40500</v>
      </c>
      <c r="Q2">
        <f>YEAR(B2)</f>
        <v>2025</v>
      </c>
      <c r="R2">
        <f>MONTH(B2)</f>
        <v>1</v>
      </c>
      <c r="S2" t="str">
        <f>TEXT(B2,"mmmm")</f>
        <v>January</v>
      </c>
    </row>
    <row r="3" spans="1:19">
      <c r="A3" t="s">
        <v>25</v>
      </c>
      <c r="B3" s="2">
        <v>45659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>
        <v>4000</v>
      </c>
      <c r="K3">
        <v>0.05</v>
      </c>
      <c r="L3" t="s">
        <v>32</v>
      </c>
      <c r="M3" t="s">
        <v>33</v>
      </c>
      <c r="N3">
        <v>8000</v>
      </c>
      <c r="O3">
        <v>400</v>
      </c>
      <c r="P3">
        <v>7600</v>
      </c>
      <c r="Q3">
        <f>YEAR(B2)</f>
        <v>2025</v>
      </c>
      <c r="R3">
        <f t="shared" ref="R3:R66" si="0">MONTH(B3)</f>
        <v>1</v>
      </c>
      <c r="S3" t="str">
        <f t="shared" ref="S3:S66" si="1">TEXT(B3,"mmmm")</f>
        <v>January</v>
      </c>
    </row>
    <row r="4" spans="1:19">
      <c r="A4" t="s">
        <v>34</v>
      </c>
      <c r="B4" s="2">
        <v>45660</v>
      </c>
      <c r="C4" t="s">
        <v>35</v>
      </c>
      <c r="D4" t="s">
        <v>36</v>
      </c>
      <c r="E4" t="s">
        <v>37</v>
      </c>
      <c r="F4" t="s">
        <v>38</v>
      </c>
      <c r="G4" t="s">
        <v>30</v>
      </c>
      <c r="H4" t="s">
        <v>31</v>
      </c>
      <c r="I4">
        <v>4</v>
      </c>
      <c r="J4">
        <v>55000</v>
      </c>
      <c r="K4">
        <v>0.15</v>
      </c>
      <c r="L4" t="s">
        <v>23</v>
      </c>
      <c r="M4" t="s">
        <v>39</v>
      </c>
      <c r="N4">
        <v>220000</v>
      </c>
      <c r="O4">
        <v>33000</v>
      </c>
      <c r="P4">
        <v>187000</v>
      </c>
      <c r="Q4">
        <f>YEAR(B2)</f>
        <v>2025</v>
      </c>
      <c r="R4">
        <f t="shared" si="0"/>
        <v>1</v>
      </c>
      <c r="S4" t="str">
        <f t="shared" si="1"/>
        <v>January</v>
      </c>
    </row>
    <row r="5" spans="1:19">
      <c r="A5" t="s">
        <v>40</v>
      </c>
      <c r="B5" s="2">
        <v>45660</v>
      </c>
      <c r="C5" t="s">
        <v>41</v>
      </c>
      <c r="D5" t="s">
        <v>42</v>
      </c>
      <c r="E5" t="s">
        <v>37</v>
      </c>
      <c r="F5" t="s">
        <v>43</v>
      </c>
      <c r="G5" t="s">
        <v>21</v>
      </c>
      <c r="H5" t="s">
        <v>22</v>
      </c>
      <c r="I5">
        <v>2</v>
      </c>
      <c r="J5">
        <v>1800</v>
      </c>
      <c r="K5">
        <v>0.1</v>
      </c>
      <c r="L5" t="s">
        <v>44</v>
      </c>
      <c r="M5" t="s">
        <v>45</v>
      </c>
      <c r="N5">
        <v>3600</v>
      </c>
      <c r="O5">
        <v>360</v>
      </c>
      <c r="P5">
        <v>3240</v>
      </c>
      <c r="Q5">
        <f t="shared" ref="Q3:Q66" si="2">YEAR(B5)</f>
        <v>2025</v>
      </c>
      <c r="R5">
        <f t="shared" si="0"/>
        <v>1</v>
      </c>
      <c r="S5" t="str">
        <f t="shared" si="1"/>
        <v>January</v>
      </c>
    </row>
    <row r="6" spans="1:19">
      <c r="A6" t="s">
        <v>46</v>
      </c>
      <c r="B6" s="2">
        <v>45660</v>
      </c>
      <c r="C6" t="s">
        <v>47</v>
      </c>
      <c r="D6" t="s">
        <v>18</v>
      </c>
      <c r="E6" t="s">
        <v>19</v>
      </c>
      <c r="F6" t="s">
        <v>48</v>
      </c>
      <c r="G6" t="s">
        <v>30</v>
      </c>
      <c r="H6" t="s">
        <v>49</v>
      </c>
      <c r="I6">
        <v>4</v>
      </c>
      <c r="J6">
        <v>7500</v>
      </c>
      <c r="K6">
        <v>0.15</v>
      </c>
      <c r="L6" t="s">
        <v>50</v>
      </c>
      <c r="M6" t="s">
        <v>51</v>
      </c>
      <c r="N6">
        <v>30000</v>
      </c>
      <c r="O6">
        <v>4500</v>
      </c>
      <c r="P6">
        <v>25500</v>
      </c>
      <c r="Q6">
        <f t="shared" si="2"/>
        <v>2025</v>
      </c>
      <c r="R6">
        <f t="shared" si="0"/>
        <v>1</v>
      </c>
      <c r="S6" t="str">
        <f t="shared" si="1"/>
        <v>January</v>
      </c>
    </row>
    <row r="7" spans="1:19">
      <c r="A7" t="s">
        <v>52</v>
      </c>
      <c r="B7" s="2">
        <v>45660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>
        <v>1</v>
      </c>
      <c r="J7">
        <v>12000</v>
      </c>
      <c r="K7">
        <v>0.1</v>
      </c>
      <c r="L7" t="s">
        <v>23</v>
      </c>
      <c r="M7" t="s">
        <v>45</v>
      </c>
      <c r="N7">
        <v>12000</v>
      </c>
      <c r="O7">
        <v>1200</v>
      </c>
      <c r="P7">
        <v>10800</v>
      </c>
      <c r="Q7">
        <f t="shared" si="2"/>
        <v>2025</v>
      </c>
      <c r="R7">
        <f t="shared" si="0"/>
        <v>1</v>
      </c>
      <c r="S7" t="str">
        <f t="shared" si="1"/>
        <v>January</v>
      </c>
    </row>
    <row r="8" spans="1:19">
      <c r="A8" t="s">
        <v>59</v>
      </c>
      <c r="B8" s="2">
        <v>45660</v>
      </c>
      <c r="C8" t="s">
        <v>60</v>
      </c>
      <c r="D8" t="s">
        <v>61</v>
      </c>
      <c r="E8" t="s">
        <v>62</v>
      </c>
      <c r="F8" t="s">
        <v>63</v>
      </c>
      <c r="G8" t="s">
        <v>21</v>
      </c>
      <c r="H8" t="s">
        <v>22</v>
      </c>
      <c r="I8">
        <v>3</v>
      </c>
      <c r="J8">
        <v>180</v>
      </c>
      <c r="K8">
        <v>0</v>
      </c>
      <c r="L8" t="s">
        <v>32</v>
      </c>
      <c r="M8" t="s">
        <v>33</v>
      </c>
      <c r="N8">
        <v>540</v>
      </c>
      <c r="O8">
        <v>0</v>
      </c>
      <c r="P8">
        <v>540</v>
      </c>
      <c r="Q8">
        <f t="shared" si="2"/>
        <v>2025</v>
      </c>
      <c r="R8">
        <f t="shared" si="0"/>
        <v>1</v>
      </c>
      <c r="S8" t="str">
        <f t="shared" si="1"/>
        <v>January</v>
      </c>
    </row>
    <row r="9" spans="1:19">
      <c r="A9" t="s">
        <v>64</v>
      </c>
      <c r="B9" s="2">
        <v>45662</v>
      </c>
      <c r="C9" t="s">
        <v>65</v>
      </c>
      <c r="D9" t="s">
        <v>42</v>
      </c>
      <c r="E9" t="s">
        <v>28</v>
      </c>
      <c r="F9" t="s">
        <v>66</v>
      </c>
      <c r="G9" t="s">
        <v>30</v>
      </c>
      <c r="H9" t="s">
        <v>31</v>
      </c>
      <c r="I9">
        <v>3</v>
      </c>
      <c r="J9">
        <v>900</v>
      </c>
      <c r="K9">
        <v>0</v>
      </c>
      <c r="L9" t="s">
        <v>32</v>
      </c>
      <c r="M9" t="s">
        <v>24</v>
      </c>
      <c r="N9">
        <v>2700</v>
      </c>
      <c r="O9">
        <v>0</v>
      </c>
      <c r="P9">
        <v>2700</v>
      </c>
      <c r="Q9">
        <f t="shared" si="2"/>
        <v>2025</v>
      </c>
      <c r="R9">
        <f t="shared" si="0"/>
        <v>1</v>
      </c>
      <c r="S9" t="str">
        <f t="shared" si="1"/>
        <v>January</v>
      </c>
    </row>
    <row r="10" spans="1:19">
      <c r="A10" t="s">
        <v>67</v>
      </c>
      <c r="B10" s="2">
        <v>45662</v>
      </c>
      <c r="C10" t="s">
        <v>68</v>
      </c>
      <c r="D10" t="s">
        <v>69</v>
      </c>
      <c r="E10" t="s">
        <v>19</v>
      </c>
      <c r="F10" t="s">
        <v>70</v>
      </c>
      <c r="G10" t="s">
        <v>71</v>
      </c>
      <c r="H10" t="s">
        <v>72</v>
      </c>
      <c r="I10">
        <v>1</v>
      </c>
      <c r="J10">
        <v>6500</v>
      </c>
      <c r="K10">
        <v>0.15</v>
      </c>
      <c r="L10" t="s">
        <v>32</v>
      </c>
      <c r="M10" t="s">
        <v>24</v>
      </c>
      <c r="N10">
        <v>6500</v>
      </c>
      <c r="O10">
        <v>975</v>
      </c>
      <c r="P10">
        <v>5525</v>
      </c>
      <c r="Q10">
        <f t="shared" si="2"/>
        <v>2025</v>
      </c>
      <c r="R10">
        <f t="shared" si="0"/>
        <v>1</v>
      </c>
      <c r="S10" t="str">
        <f t="shared" si="1"/>
        <v>January</v>
      </c>
    </row>
    <row r="11" spans="1:19">
      <c r="A11" t="s">
        <v>73</v>
      </c>
      <c r="B11" s="2">
        <v>45662</v>
      </c>
      <c r="C11" t="s">
        <v>35</v>
      </c>
      <c r="D11" t="s">
        <v>74</v>
      </c>
      <c r="E11" t="s">
        <v>28</v>
      </c>
      <c r="F11" t="s">
        <v>29</v>
      </c>
      <c r="G11" t="s">
        <v>57</v>
      </c>
      <c r="H11" t="s">
        <v>75</v>
      </c>
      <c r="I11">
        <v>3</v>
      </c>
      <c r="J11">
        <v>4000</v>
      </c>
      <c r="K11">
        <v>0.05</v>
      </c>
      <c r="L11" t="s">
        <v>32</v>
      </c>
      <c r="M11" t="s">
        <v>24</v>
      </c>
      <c r="N11">
        <v>12000</v>
      </c>
      <c r="O11">
        <v>600</v>
      </c>
      <c r="P11">
        <v>11400</v>
      </c>
      <c r="Q11">
        <f t="shared" si="2"/>
        <v>2025</v>
      </c>
      <c r="R11">
        <f t="shared" si="0"/>
        <v>1</v>
      </c>
      <c r="S11" t="str">
        <f t="shared" si="1"/>
        <v>January</v>
      </c>
    </row>
    <row r="12" spans="1:19">
      <c r="A12" t="s">
        <v>76</v>
      </c>
      <c r="B12" s="2">
        <v>45663</v>
      </c>
      <c r="C12" t="s">
        <v>77</v>
      </c>
      <c r="D12" t="s">
        <v>61</v>
      </c>
      <c r="E12" t="s">
        <v>62</v>
      </c>
      <c r="F12" t="s">
        <v>78</v>
      </c>
      <c r="G12" t="s">
        <v>57</v>
      </c>
      <c r="H12" t="s">
        <v>75</v>
      </c>
      <c r="I12">
        <v>2</v>
      </c>
      <c r="J12">
        <v>250</v>
      </c>
      <c r="K12">
        <v>0</v>
      </c>
      <c r="L12" t="s">
        <v>23</v>
      </c>
      <c r="M12" t="s">
        <v>24</v>
      </c>
      <c r="N12">
        <v>500</v>
      </c>
      <c r="O12">
        <v>0</v>
      </c>
      <c r="P12">
        <v>500</v>
      </c>
      <c r="Q12">
        <f t="shared" si="2"/>
        <v>2025</v>
      </c>
      <c r="R12">
        <f t="shared" si="0"/>
        <v>1</v>
      </c>
      <c r="S12" t="str">
        <f t="shared" si="1"/>
        <v>January</v>
      </c>
    </row>
    <row r="13" spans="1:19">
      <c r="A13" t="s">
        <v>79</v>
      </c>
      <c r="B13" s="2">
        <v>45663</v>
      </c>
      <c r="C13" t="s">
        <v>80</v>
      </c>
      <c r="D13" t="s">
        <v>81</v>
      </c>
      <c r="E13" t="s">
        <v>28</v>
      </c>
      <c r="F13" t="s">
        <v>82</v>
      </c>
      <c r="G13" t="s">
        <v>21</v>
      </c>
      <c r="H13" t="s">
        <v>83</v>
      </c>
      <c r="I13">
        <v>2</v>
      </c>
      <c r="J13">
        <v>3500</v>
      </c>
      <c r="K13">
        <v>0</v>
      </c>
      <c r="L13" t="s">
        <v>50</v>
      </c>
      <c r="M13" t="s">
        <v>39</v>
      </c>
      <c r="N13">
        <v>7000</v>
      </c>
      <c r="O13">
        <v>0</v>
      </c>
      <c r="P13">
        <v>7000</v>
      </c>
      <c r="Q13">
        <f t="shared" si="2"/>
        <v>2025</v>
      </c>
      <c r="R13">
        <f t="shared" si="0"/>
        <v>1</v>
      </c>
      <c r="S13" t="str">
        <f t="shared" si="1"/>
        <v>January</v>
      </c>
    </row>
    <row r="14" spans="1:19">
      <c r="A14" t="s">
        <v>84</v>
      </c>
      <c r="B14" s="2">
        <v>45664</v>
      </c>
      <c r="C14" t="s">
        <v>85</v>
      </c>
      <c r="D14" t="s">
        <v>86</v>
      </c>
      <c r="E14" t="s">
        <v>62</v>
      </c>
      <c r="F14" t="s">
        <v>63</v>
      </c>
      <c r="G14" t="s">
        <v>30</v>
      </c>
      <c r="H14" t="s">
        <v>49</v>
      </c>
      <c r="I14">
        <v>2</v>
      </c>
      <c r="J14">
        <v>180</v>
      </c>
      <c r="K14">
        <v>0.05</v>
      </c>
      <c r="L14" t="s">
        <v>44</v>
      </c>
      <c r="M14" t="s">
        <v>39</v>
      </c>
      <c r="N14">
        <v>360</v>
      </c>
      <c r="O14">
        <v>18</v>
      </c>
      <c r="P14">
        <v>342</v>
      </c>
      <c r="Q14">
        <f t="shared" si="2"/>
        <v>2025</v>
      </c>
      <c r="R14">
        <f t="shared" si="0"/>
        <v>1</v>
      </c>
      <c r="S14" t="str">
        <f t="shared" si="1"/>
        <v>January</v>
      </c>
    </row>
    <row r="15" spans="1:19">
      <c r="A15" t="s">
        <v>87</v>
      </c>
      <c r="B15" s="2">
        <v>45664</v>
      </c>
      <c r="C15" t="s">
        <v>88</v>
      </c>
      <c r="D15" t="s">
        <v>89</v>
      </c>
      <c r="E15" t="s">
        <v>37</v>
      </c>
      <c r="F15" t="s">
        <v>90</v>
      </c>
      <c r="G15" t="s">
        <v>57</v>
      </c>
      <c r="H15" t="s">
        <v>58</v>
      </c>
      <c r="I15">
        <v>3</v>
      </c>
      <c r="J15">
        <v>900</v>
      </c>
      <c r="K15">
        <v>0.1</v>
      </c>
      <c r="L15" t="s">
        <v>32</v>
      </c>
      <c r="M15" t="s">
        <v>91</v>
      </c>
      <c r="N15">
        <v>2700</v>
      </c>
      <c r="O15">
        <v>270</v>
      </c>
      <c r="P15">
        <v>2430</v>
      </c>
      <c r="Q15">
        <f t="shared" si="2"/>
        <v>2025</v>
      </c>
      <c r="R15">
        <f t="shared" si="0"/>
        <v>1</v>
      </c>
      <c r="S15" t="str">
        <f t="shared" si="1"/>
        <v>January</v>
      </c>
    </row>
    <row r="16" spans="1:19">
      <c r="A16" t="s">
        <v>92</v>
      </c>
      <c r="B16" s="2">
        <v>45664</v>
      </c>
      <c r="C16" t="s">
        <v>93</v>
      </c>
      <c r="D16" t="s">
        <v>89</v>
      </c>
      <c r="E16" t="s">
        <v>62</v>
      </c>
      <c r="F16" t="s">
        <v>94</v>
      </c>
      <c r="G16" t="s">
        <v>21</v>
      </c>
      <c r="H16" t="s">
        <v>22</v>
      </c>
      <c r="I16">
        <v>3</v>
      </c>
      <c r="J16">
        <v>120</v>
      </c>
      <c r="K16">
        <v>0</v>
      </c>
      <c r="L16" t="s">
        <v>32</v>
      </c>
      <c r="M16" t="s">
        <v>24</v>
      </c>
      <c r="N16">
        <v>360</v>
      </c>
      <c r="O16">
        <v>0</v>
      </c>
      <c r="P16">
        <v>360</v>
      </c>
      <c r="Q16">
        <f t="shared" si="2"/>
        <v>2025</v>
      </c>
      <c r="R16">
        <f t="shared" si="0"/>
        <v>1</v>
      </c>
      <c r="S16" t="str">
        <f t="shared" si="1"/>
        <v>January</v>
      </c>
    </row>
    <row r="17" spans="1:19">
      <c r="A17" t="s">
        <v>95</v>
      </c>
      <c r="B17" s="2">
        <v>45665</v>
      </c>
      <c r="C17" t="s">
        <v>96</v>
      </c>
      <c r="D17" t="s">
        <v>69</v>
      </c>
      <c r="E17" t="s">
        <v>19</v>
      </c>
      <c r="F17" t="s">
        <v>70</v>
      </c>
      <c r="G17" t="s">
        <v>57</v>
      </c>
      <c r="H17" t="s">
        <v>97</v>
      </c>
      <c r="I17">
        <v>4</v>
      </c>
      <c r="J17">
        <v>6500</v>
      </c>
      <c r="K17">
        <v>0.1</v>
      </c>
      <c r="L17" t="s">
        <v>50</v>
      </c>
      <c r="M17" t="s">
        <v>24</v>
      </c>
      <c r="N17">
        <v>26000</v>
      </c>
      <c r="O17">
        <v>2600</v>
      </c>
      <c r="P17">
        <v>23400</v>
      </c>
      <c r="Q17">
        <f t="shared" si="2"/>
        <v>2025</v>
      </c>
      <c r="R17">
        <f t="shared" si="0"/>
        <v>1</v>
      </c>
      <c r="S17" t="str">
        <f t="shared" si="1"/>
        <v>January</v>
      </c>
    </row>
    <row r="18" spans="1:19">
      <c r="A18" t="s">
        <v>98</v>
      </c>
      <c r="B18" s="2">
        <v>45667</v>
      </c>
      <c r="C18" t="s">
        <v>88</v>
      </c>
      <c r="D18" t="s">
        <v>42</v>
      </c>
      <c r="E18" t="s">
        <v>62</v>
      </c>
      <c r="F18" t="s">
        <v>94</v>
      </c>
      <c r="G18" t="s">
        <v>71</v>
      </c>
      <c r="H18" t="s">
        <v>99</v>
      </c>
      <c r="I18">
        <v>1</v>
      </c>
      <c r="J18">
        <v>120</v>
      </c>
      <c r="K18">
        <v>0.05</v>
      </c>
      <c r="L18" t="s">
        <v>23</v>
      </c>
      <c r="M18" t="s">
        <v>91</v>
      </c>
      <c r="N18">
        <v>120</v>
      </c>
      <c r="O18">
        <v>6</v>
      </c>
      <c r="P18">
        <v>114</v>
      </c>
      <c r="Q18">
        <f>YEAR(B2)</f>
        <v>2025</v>
      </c>
      <c r="R18">
        <f t="shared" si="0"/>
        <v>1</v>
      </c>
      <c r="S18" t="str">
        <f t="shared" si="1"/>
        <v>January</v>
      </c>
    </row>
    <row r="19" spans="1:19">
      <c r="A19" t="s">
        <v>100</v>
      </c>
      <c r="B19" s="2">
        <v>45668</v>
      </c>
      <c r="C19" t="s">
        <v>101</v>
      </c>
      <c r="D19" t="s">
        <v>102</v>
      </c>
      <c r="E19" t="s">
        <v>37</v>
      </c>
      <c r="F19" t="s">
        <v>43</v>
      </c>
      <c r="G19" t="s">
        <v>30</v>
      </c>
      <c r="H19" t="s">
        <v>103</v>
      </c>
      <c r="I19">
        <v>2</v>
      </c>
      <c r="J19">
        <v>1800</v>
      </c>
      <c r="K19">
        <v>0.15</v>
      </c>
      <c r="L19" t="s">
        <v>50</v>
      </c>
      <c r="M19" t="s">
        <v>51</v>
      </c>
      <c r="N19">
        <v>3600</v>
      </c>
      <c r="O19">
        <v>540</v>
      </c>
      <c r="P19">
        <v>3060</v>
      </c>
      <c r="Q19">
        <f t="shared" si="2"/>
        <v>2025</v>
      </c>
      <c r="R19">
        <f t="shared" si="0"/>
        <v>1</v>
      </c>
      <c r="S19" t="str">
        <f t="shared" si="1"/>
        <v>January</v>
      </c>
    </row>
    <row r="20" spans="1:19">
      <c r="A20" t="s">
        <v>104</v>
      </c>
      <c r="B20" s="2">
        <v>45670</v>
      </c>
      <c r="C20" t="s">
        <v>105</v>
      </c>
      <c r="D20" t="s">
        <v>106</v>
      </c>
      <c r="E20" t="s">
        <v>28</v>
      </c>
      <c r="F20" t="s">
        <v>66</v>
      </c>
      <c r="G20" t="s">
        <v>57</v>
      </c>
      <c r="H20" t="s">
        <v>58</v>
      </c>
      <c r="I20">
        <v>1</v>
      </c>
      <c r="J20">
        <v>900</v>
      </c>
      <c r="K20">
        <v>0.15</v>
      </c>
      <c r="L20" t="s">
        <v>50</v>
      </c>
      <c r="M20" t="s">
        <v>107</v>
      </c>
      <c r="N20">
        <v>900</v>
      </c>
      <c r="O20">
        <v>135</v>
      </c>
      <c r="P20">
        <v>765</v>
      </c>
      <c r="Q20">
        <f t="shared" si="2"/>
        <v>2025</v>
      </c>
      <c r="R20">
        <f t="shared" si="0"/>
        <v>1</v>
      </c>
      <c r="S20" t="str">
        <f t="shared" si="1"/>
        <v>January</v>
      </c>
    </row>
    <row r="21" spans="1:19">
      <c r="A21" t="s">
        <v>108</v>
      </c>
      <c r="B21" s="2">
        <v>45670</v>
      </c>
      <c r="C21" t="s">
        <v>109</v>
      </c>
      <c r="D21" t="s">
        <v>86</v>
      </c>
      <c r="E21" t="s">
        <v>28</v>
      </c>
      <c r="F21" t="s">
        <v>66</v>
      </c>
      <c r="G21" t="s">
        <v>21</v>
      </c>
      <c r="H21" t="s">
        <v>22</v>
      </c>
      <c r="I21">
        <v>4</v>
      </c>
      <c r="J21">
        <v>900</v>
      </c>
      <c r="K21">
        <v>0</v>
      </c>
      <c r="L21" t="s">
        <v>50</v>
      </c>
      <c r="M21" t="s">
        <v>51</v>
      </c>
      <c r="N21">
        <v>3600</v>
      </c>
      <c r="O21">
        <v>0</v>
      </c>
      <c r="P21">
        <v>3600</v>
      </c>
      <c r="Q21">
        <f t="shared" si="2"/>
        <v>2025</v>
      </c>
      <c r="R21">
        <f t="shared" si="0"/>
        <v>1</v>
      </c>
      <c r="S21" t="str">
        <f t="shared" si="1"/>
        <v>January</v>
      </c>
    </row>
    <row r="22" spans="1:19">
      <c r="A22" t="s">
        <v>110</v>
      </c>
      <c r="B22" s="2">
        <v>45670</v>
      </c>
      <c r="C22" t="s">
        <v>111</v>
      </c>
      <c r="D22" t="s">
        <v>106</v>
      </c>
      <c r="E22" t="s">
        <v>55</v>
      </c>
      <c r="F22" t="s">
        <v>56</v>
      </c>
      <c r="G22" t="s">
        <v>71</v>
      </c>
      <c r="H22" t="s">
        <v>99</v>
      </c>
      <c r="I22">
        <v>5</v>
      </c>
      <c r="J22">
        <v>12000</v>
      </c>
      <c r="K22">
        <v>0.1</v>
      </c>
      <c r="L22" t="s">
        <v>50</v>
      </c>
      <c r="M22" t="s">
        <v>112</v>
      </c>
      <c r="N22">
        <v>60000</v>
      </c>
      <c r="O22">
        <v>6000</v>
      </c>
      <c r="P22">
        <v>54000</v>
      </c>
      <c r="Q22">
        <f t="shared" si="2"/>
        <v>2025</v>
      </c>
      <c r="R22">
        <f t="shared" si="0"/>
        <v>1</v>
      </c>
      <c r="S22" t="str">
        <f t="shared" si="1"/>
        <v>January</v>
      </c>
    </row>
    <row r="23" spans="1:19">
      <c r="A23" t="s">
        <v>113</v>
      </c>
      <c r="B23" s="2">
        <v>45670</v>
      </c>
      <c r="C23" t="s">
        <v>114</v>
      </c>
      <c r="D23" t="s">
        <v>115</v>
      </c>
      <c r="E23" t="s">
        <v>19</v>
      </c>
      <c r="F23" t="s">
        <v>70</v>
      </c>
      <c r="G23" t="s">
        <v>57</v>
      </c>
      <c r="H23" t="s">
        <v>97</v>
      </c>
      <c r="I23">
        <v>2</v>
      </c>
      <c r="J23">
        <v>6500</v>
      </c>
      <c r="K23">
        <v>0.1</v>
      </c>
      <c r="L23" t="s">
        <v>32</v>
      </c>
      <c r="M23" t="s">
        <v>51</v>
      </c>
      <c r="N23">
        <v>13000</v>
      </c>
      <c r="O23">
        <v>1300</v>
      </c>
      <c r="P23">
        <v>11700</v>
      </c>
      <c r="Q23">
        <f t="shared" si="2"/>
        <v>2025</v>
      </c>
      <c r="R23">
        <f t="shared" si="0"/>
        <v>1</v>
      </c>
      <c r="S23" t="str">
        <f t="shared" si="1"/>
        <v>January</v>
      </c>
    </row>
    <row r="24" spans="1:19">
      <c r="A24" t="s">
        <v>116</v>
      </c>
      <c r="B24" s="2">
        <v>45671</v>
      </c>
      <c r="C24" t="s">
        <v>117</v>
      </c>
      <c r="D24" t="s">
        <v>69</v>
      </c>
      <c r="E24" t="s">
        <v>62</v>
      </c>
      <c r="F24" t="s">
        <v>78</v>
      </c>
      <c r="G24" t="s">
        <v>57</v>
      </c>
      <c r="H24" t="s">
        <v>58</v>
      </c>
      <c r="I24">
        <v>4</v>
      </c>
      <c r="J24">
        <v>250</v>
      </c>
      <c r="K24">
        <v>0.05</v>
      </c>
      <c r="L24" t="s">
        <v>23</v>
      </c>
      <c r="M24" t="s">
        <v>33</v>
      </c>
      <c r="N24">
        <v>1000</v>
      </c>
      <c r="O24">
        <v>50</v>
      </c>
      <c r="P24">
        <v>950</v>
      </c>
      <c r="Q24">
        <f t="shared" si="2"/>
        <v>2025</v>
      </c>
      <c r="R24">
        <f t="shared" si="0"/>
        <v>1</v>
      </c>
      <c r="S24" t="str">
        <f t="shared" si="1"/>
        <v>January</v>
      </c>
    </row>
    <row r="25" spans="1:19">
      <c r="A25" t="s">
        <v>118</v>
      </c>
      <c r="B25" s="2">
        <v>45671</v>
      </c>
      <c r="C25" t="s">
        <v>119</v>
      </c>
      <c r="D25" t="s">
        <v>120</v>
      </c>
      <c r="E25" t="s">
        <v>28</v>
      </c>
      <c r="F25" t="s">
        <v>66</v>
      </c>
      <c r="G25" t="s">
        <v>21</v>
      </c>
      <c r="H25" t="s">
        <v>83</v>
      </c>
      <c r="I25">
        <v>2</v>
      </c>
      <c r="J25">
        <v>900</v>
      </c>
      <c r="K25">
        <v>0.1</v>
      </c>
      <c r="L25" t="s">
        <v>50</v>
      </c>
      <c r="M25" t="s">
        <v>45</v>
      </c>
      <c r="N25">
        <v>1800</v>
      </c>
      <c r="O25">
        <v>180</v>
      </c>
      <c r="P25">
        <v>1620</v>
      </c>
      <c r="Q25">
        <f t="shared" si="2"/>
        <v>2025</v>
      </c>
      <c r="R25">
        <f t="shared" si="0"/>
        <v>1</v>
      </c>
      <c r="S25" t="str">
        <f t="shared" si="1"/>
        <v>January</v>
      </c>
    </row>
    <row r="26" spans="1:19">
      <c r="A26" t="s">
        <v>121</v>
      </c>
      <c r="B26" s="2">
        <v>45672</v>
      </c>
      <c r="C26" t="s">
        <v>122</v>
      </c>
      <c r="D26" t="s">
        <v>123</v>
      </c>
      <c r="E26" t="s">
        <v>19</v>
      </c>
      <c r="F26" t="s">
        <v>124</v>
      </c>
      <c r="G26" t="s">
        <v>30</v>
      </c>
      <c r="H26" t="s">
        <v>125</v>
      </c>
      <c r="I26">
        <v>3</v>
      </c>
      <c r="J26">
        <v>7000</v>
      </c>
      <c r="K26">
        <v>0.05</v>
      </c>
      <c r="L26" t="s">
        <v>23</v>
      </c>
      <c r="M26" t="s">
        <v>112</v>
      </c>
      <c r="N26">
        <v>21000</v>
      </c>
      <c r="O26">
        <v>1050</v>
      </c>
      <c r="P26">
        <v>19950</v>
      </c>
      <c r="Q26">
        <f t="shared" si="2"/>
        <v>2025</v>
      </c>
      <c r="R26">
        <f t="shared" si="0"/>
        <v>1</v>
      </c>
      <c r="S26" t="str">
        <f t="shared" si="1"/>
        <v>January</v>
      </c>
    </row>
    <row r="27" spans="1:19">
      <c r="A27" t="s">
        <v>126</v>
      </c>
      <c r="B27" s="2">
        <v>45673</v>
      </c>
      <c r="C27" t="s">
        <v>65</v>
      </c>
      <c r="D27" t="s">
        <v>127</v>
      </c>
      <c r="E27" t="s">
        <v>19</v>
      </c>
      <c r="F27" t="s">
        <v>20</v>
      </c>
      <c r="G27" t="s">
        <v>71</v>
      </c>
      <c r="H27" t="s">
        <v>128</v>
      </c>
      <c r="I27">
        <v>2</v>
      </c>
      <c r="J27">
        <v>9000</v>
      </c>
      <c r="K27">
        <v>0.05</v>
      </c>
      <c r="L27" t="s">
        <v>50</v>
      </c>
      <c r="M27" t="s">
        <v>91</v>
      </c>
      <c r="N27">
        <v>18000</v>
      </c>
      <c r="O27">
        <v>900</v>
      </c>
      <c r="P27">
        <v>17100</v>
      </c>
      <c r="Q27">
        <f t="shared" si="2"/>
        <v>2025</v>
      </c>
      <c r="R27">
        <f t="shared" si="0"/>
        <v>1</v>
      </c>
      <c r="S27" t="str">
        <f t="shared" si="1"/>
        <v>January</v>
      </c>
    </row>
    <row r="28" spans="1:19">
      <c r="A28" t="s">
        <v>129</v>
      </c>
      <c r="B28" s="2">
        <v>45674</v>
      </c>
      <c r="C28" t="s">
        <v>119</v>
      </c>
      <c r="D28" t="s">
        <v>106</v>
      </c>
      <c r="E28" t="s">
        <v>28</v>
      </c>
      <c r="F28" t="s">
        <v>130</v>
      </c>
      <c r="G28" t="s">
        <v>71</v>
      </c>
      <c r="H28" t="s">
        <v>72</v>
      </c>
      <c r="I28">
        <v>4</v>
      </c>
      <c r="J28">
        <v>2200</v>
      </c>
      <c r="K28">
        <v>0.1</v>
      </c>
      <c r="L28" t="s">
        <v>50</v>
      </c>
      <c r="M28" t="s">
        <v>91</v>
      </c>
      <c r="N28">
        <v>8800</v>
      </c>
      <c r="O28">
        <v>880</v>
      </c>
      <c r="P28">
        <v>7920</v>
      </c>
      <c r="Q28">
        <f t="shared" si="2"/>
        <v>2025</v>
      </c>
      <c r="R28">
        <f t="shared" si="0"/>
        <v>1</v>
      </c>
      <c r="S28" t="str">
        <f t="shared" si="1"/>
        <v>January</v>
      </c>
    </row>
    <row r="29" spans="1:19">
      <c r="A29" t="s">
        <v>131</v>
      </c>
      <c r="B29" s="2">
        <v>45675</v>
      </c>
      <c r="C29" t="s">
        <v>132</v>
      </c>
      <c r="D29" t="s">
        <v>18</v>
      </c>
      <c r="E29" t="s">
        <v>28</v>
      </c>
      <c r="F29" t="s">
        <v>130</v>
      </c>
      <c r="G29" t="s">
        <v>57</v>
      </c>
      <c r="H29" t="s">
        <v>58</v>
      </c>
      <c r="I29">
        <v>1</v>
      </c>
      <c r="J29">
        <v>2200</v>
      </c>
      <c r="K29">
        <v>0</v>
      </c>
      <c r="L29" t="s">
        <v>44</v>
      </c>
      <c r="M29" t="s">
        <v>33</v>
      </c>
      <c r="N29">
        <v>2200</v>
      </c>
      <c r="O29">
        <v>0</v>
      </c>
      <c r="P29">
        <v>2200</v>
      </c>
      <c r="Q29">
        <f t="shared" si="2"/>
        <v>2025</v>
      </c>
      <c r="R29">
        <f t="shared" si="0"/>
        <v>1</v>
      </c>
      <c r="S29" t="str">
        <f t="shared" si="1"/>
        <v>January</v>
      </c>
    </row>
    <row r="30" spans="1:19">
      <c r="A30" t="s">
        <v>133</v>
      </c>
      <c r="B30" s="2">
        <v>45675</v>
      </c>
      <c r="C30" t="s">
        <v>134</v>
      </c>
      <c r="D30" t="s">
        <v>135</v>
      </c>
      <c r="E30" t="s">
        <v>37</v>
      </c>
      <c r="F30" t="s">
        <v>136</v>
      </c>
      <c r="G30" t="s">
        <v>30</v>
      </c>
      <c r="H30" t="s">
        <v>31</v>
      </c>
      <c r="I30">
        <v>5</v>
      </c>
      <c r="J30">
        <v>25000</v>
      </c>
      <c r="K30">
        <v>0.05</v>
      </c>
      <c r="L30" t="s">
        <v>32</v>
      </c>
      <c r="M30" t="s">
        <v>107</v>
      </c>
      <c r="N30">
        <v>125000</v>
      </c>
      <c r="O30">
        <v>6250</v>
      </c>
      <c r="P30">
        <v>118750</v>
      </c>
      <c r="Q30">
        <f t="shared" si="2"/>
        <v>2025</v>
      </c>
      <c r="R30">
        <f t="shared" si="0"/>
        <v>1</v>
      </c>
      <c r="S30" t="str">
        <f t="shared" si="1"/>
        <v>January</v>
      </c>
    </row>
    <row r="31" spans="1:19">
      <c r="A31" t="s">
        <v>137</v>
      </c>
      <c r="B31" s="2">
        <v>45676</v>
      </c>
      <c r="C31" t="s">
        <v>138</v>
      </c>
      <c r="D31" t="s">
        <v>123</v>
      </c>
      <c r="E31" t="s">
        <v>19</v>
      </c>
      <c r="F31" t="s">
        <v>139</v>
      </c>
      <c r="G31" t="s">
        <v>30</v>
      </c>
      <c r="H31" t="s">
        <v>49</v>
      </c>
      <c r="I31">
        <v>3</v>
      </c>
      <c r="J31">
        <v>6000</v>
      </c>
      <c r="K31">
        <v>0</v>
      </c>
      <c r="L31" t="s">
        <v>32</v>
      </c>
      <c r="M31" t="s">
        <v>33</v>
      </c>
      <c r="N31">
        <v>18000</v>
      </c>
      <c r="O31">
        <v>0</v>
      </c>
      <c r="P31">
        <v>18000</v>
      </c>
      <c r="Q31">
        <f t="shared" si="2"/>
        <v>2025</v>
      </c>
      <c r="R31">
        <f t="shared" si="0"/>
        <v>1</v>
      </c>
      <c r="S31" t="str">
        <f t="shared" si="1"/>
        <v>January</v>
      </c>
    </row>
    <row r="32" spans="1:19">
      <c r="A32" t="s">
        <v>140</v>
      </c>
      <c r="B32" s="2">
        <v>45677</v>
      </c>
      <c r="C32" t="s">
        <v>141</v>
      </c>
      <c r="D32" t="s">
        <v>115</v>
      </c>
      <c r="E32" t="s">
        <v>37</v>
      </c>
      <c r="F32" t="s">
        <v>90</v>
      </c>
      <c r="G32" t="s">
        <v>57</v>
      </c>
      <c r="H32" t="s">
        <v>142</v>
      </c>
      <c r="I32">
        <v>4</v>
      </c>
      <c r="J32">
        <v>900</v>
      </c>
      <c r="K32">
        <v>0</v>
      </c>
      <c r="L32" t="s">
        <v>23</v>
      </c>
      <c r="M32" t="s">
        <v>33</v>
      </c>
      <c r="N32">
        <v>3600</v>
      </c>
      <c r="O32">
        <v>0</v>
      </c>
      <c r="P32">
        <v>3600</v>
      </c>
      <c r="Q32">
        <f t="shared" si="2"/>
        <v>2025</v>
      </c>
      <c r="R32">
        <f t="shared" si="0"/>
        <v>1</v>
      </c>
      <c r="S32" t="str">
        <f t="shared" si="1"/>
        <v>January</v>
      </c>
    </row>
    <row r="33" spans="1:19">
      <c r="A33" t="s">
        <v>143</v>
      </c>
      <c r="B33" s="2">
        <v>45677</v>
      </c>
      <c r="C33" t="s">
        <v>144</v>
      </c>
      <c r="D33" t="s">
        <v>42</v>
      </c>
      <c r="E33" t="s">
        <v>55</v>
      </c>
      <c r="F33" t="s">
        <v>145</v>
      </c>
      <c r="G33" t="s">
        <v>30</v>
      </c>
      <c r="H33" t="s">
        <v>31</v>
      </c>
      <c r="I33">
        <v>1</v>
      </c>
      <c r="J33">
        <v>1800</v>
      </c>
      <c r="K33">
        <v>0.05</v>
      </c>
      <c r="L33" t="s">
        <v>50</v>
      </c>
      <c r="M33" t="s">
        <v>91</v>
      </c>
      <c r="N33">
        <v>1800</v>
      </c>
      <c r="O33">
        <v>90</v>
      </c>
      <c r="P33">
        <v>1710</v>
      </c>
      <c r="Q33">
        <f t="shared" si="2"/>
        <v>2025</v>
      </c>
      <c r="R33">
        <f t="shared" si="0"/>
        <v>1</v>
      </c>
      <c r="S33" t="str">
        <f t="shared" si="1"/>
        <v>January</v>
      </c>
    </row>
    <row r="34" spans="1:19">
      <c r="A34" t="s">
        <v>146</v>
      </c>
      <c r="B34" s="2">
        <v>45678</v>
      </c>
      <c r="C34" t="s">
        <v>147</v>
      </c>
      <c r="D34" t="s">
        <v>89</v>
      </c>
      <c r="E34" t="s">
        <v>28</v>
      </c>
      <c r="F34" t="s">
        <v>148</v>
      </c>
      <c r="G34" t="s">
        <v>57</v>
      </c>
      <c r="H34" t="s">
        <v>58</v>
      </c>
      <c r="I34">
        <v>3</v>
      </c>
      <c r="J34">
        <v>1800</v>
      </c>
      <c r="K34">
        <v>0.05</v>
      </c>
      <c r="L34" t="s">
        <v>50</v>
      </c>
      <c r="M34" t="s">
        <v>39</v>
      </c>
      <c r="N34">
        <v>5400</v>
      </c>
      <c r="O34">
        <v>270</v>
      </c>
      <c r="P34">
        <v>5130</v>
      </c>
      <c r="Q34">
        <f t="shared" si="2"/>
        <v>2025</v>
      </c>
      <c r="R34">
        <f t="shared" si="0"/>
        <v>1</v>
      </c>
      <c r="S34" t="str">
        <f t="shared" si="1"/>
        <v>January</v>
      </c>
    </row>
    <row r="35" spans="1:19">
      <c r="A35" t="s">
        <v>149</v>
      </c>
      <c r="B35" s="2">
        <v>45679</v>
      </c>
      <c r="C35" t="s">
        <v>85</v>
      </c>
      <c r="D35" t="s">
        <v>123</v>
      </c>
      <c r="E35" t="s">
        <v>55</v>
      </c>
      <c r="F35" t="s">
        <v>150</v>
      </c>
      <c r="G35" t="s">
        <v>21</v>
      </c>
      <c r="H35" t="s">
        <v>22</v>
      </c>
      <c r="I35">
        <v>1</v>
      </c>
      <c r="J35">
        <v>4500</v>
      </c>
      <c r="K35">
        <v>0.05</v>
      </c>
      <c r="L35" t="s">
        <v>50</v>
      </c>
      <c r="M35" t="s">
        <v>33</v>
      </c>
      <c r="N35">
        <v>4500</v>
      </c>
      <c r="O35">
        <v>225</v>
      </c>
      <c r="P35">
        <v>4275</v>
      </c>
      <c r="Q35">
        <f t="shared" si="2"/>
        <v>2025</v>
      </c>
      <c r="R35">
        <f t="shared" si="0"/>
        <v>1</v>
      </c>
      <c r="S35" t="str">
        <f t="shared" si="1"/>
        <v>January</v>
      </c>
    </row>
    <row r="36" spans="1:19">
      <c r="A36" t="s">
        <v>151</v>
      </c>
      <c r="B36" s="2">
        <v>45679</v>
      </c>
      <c r="C36" t="s">
        <v>152</v>
      </c>
      <c r="D36" t="s">
        <v>153</v>
      </c>
      <c r="E36" t="s">
        <v>55</v>
      </c>
      <c r="F36" t="s">
        <v>154</v>
      </c>
      <c r="G36" t="s">
        <v>30</v>
      </c>
      <c r="H36" t="s">
        <v>49</v>
      </c>
      <c r="I36">
        <v>1</v>
      </c>
      <c r="J36">
        <v>9500</v>
      </c>
      <c r="K36">
        <v>0.05</v>
      </c>
      <c r="L36" t="s">
        <v>44</v>
      </c>
      <c r="M36" t="s">
        <v>33</v>
      </c>
      <c r="N36">
        <v>9500</v>
      </c>
      <c r="O36">
        <v>475</v>
      </c>
      <c r="P36">
        <v>9025</v>
      </c>
      <c r="Q36">
        <f t="shared" si="2"/>
        <v>2025</v>
      </c>
      <c r="R36">
        <f t="shared" si="0"/>
        <v>1</v>
      </c>
      <c r="S36" t="str">
        <f t="shared" si="1"/>
        <v>January</v>
      </c>
    </row>
    <row r="37" spans="1:19">
      <c r="A37" t="s">
        <v>155</v>
      </c>
      <c r="B37" s="2">
        <v>45679</v>
      </c>
      <c r="C37" t="s">
        <v>156</v>
      </c>
      <c r="D37" t="s">
        <v>123</v>
      </c>
      <c r="E37" t="s">
        <v>37</v>
      </c>
      <c r="F37" t="s">
        <v>136</v>
      </c>
      <c r="G37" t="s">
        <v>57</v>
      </c>
      <c r="H37" t="s">
        <v>142</v>
      </c>
      <c r="I37">
        <v>5</v>
      </c>
      <c r="J37">
        <v>25000</v>
      </c>
      <c r="K37">
        <v>0.1</v>
      </c>
      <c r="L37" t="s">
        <v>32</v>
      </c>
      <c r="M37" t="s">
        <v>39</v>
      </c>
      <c r="N37">
        <v>125000</v>
      </c>
      <c r="O37">
        <v>12500</v>
      </c>
      <c r="P37">
        <v>112500</v>
      </c>
      <c r="Q37">
        <f t="shared" si="2"/>
        <v>2025</v>
      </c>
      <c r="R37">
        <f t="shared" si="0"/>
        <v>1</v>
      </c>
      <c r="S37" t="str">
        <f t="shared" si="1"/>
        <v>January</v>
      </c>
    </row>
    <row r="38" spans="1:19">
      <c r="A38" t="s">
        <v>157</v>
      </c>
      <c r="B38" s="2">
        <v>45682</v>
      </c>
      <c r="C38" t="s">
        <v>158</v>
      </c>
      <c r="D38" t="s">
        <v>27</v>
      </c>
      <c r="E38" t="s">
        <v>37</v>
      </c>
      <c r="F38" t="s">
        <v>136</v>
      </c>
      <c r="G38" t="s">
        <v>30</v>
      </c>
      <c r="H38" t="s">
        <v>49</v>
      </c>
      <c r="I38">
        <v>3</v>
      </c>
      <c r="J38">
        <v>25000</v>
      </c>
      <c r="K38">
        <v>0.1</v>
      </c>
      <c r="L38" t="s">
        <v>50</v>
      </c>
      <c r="M38" t="s">
        <v>33</v>
      </c>
      <c r="N38">
        <v>75000</v>
      </c>
      <c r="O38">
        <v>7500</v>
      </c>
      <c r="P38">
        <v>67500</v>
      </c>
      <c r="Q38">
        <f t="shared" si="2"/>
        <v>2025</v>
      </c>
      <c r="R38">
        <f t="shared" si="0"/>
        <v>1</v>
      </c>
      <c r="S38" t="str">
        <f t="shared" si="1"/>
        <v>January</v>
      </c>
    </row>
    <row r="39" spans="1:19">
      <c r="A39" t="s">
        <v>159</v>
      </c>
      <c r="B39" s="2">
        <v>45682</v>
      </c>
      <c r="C39" t="s">
        <v>160</v>
      </c>
      <c r="D39" t="s">
        <v>81</v>
      </c>
      <c r="E39" t="s">
        <v>62</v>
      </c>
      <c r="F39" t="s">
        <v>94</v>
      </c>
      <c r="G39" t="s">
        <v>21</v>
      </c>
      <c r="H39" t="s">
        <v>83</v>
      </c>
      <c r="I39">
        <v>3</v>
      </c>
      <c r="J39">
        <v>120</v>
      </c>
      <c r="K39">
        <v>0.05</v>
      </c>
      <c r="L39" t="s">
        <v>23</v>
      </c>
      <c r="M39" t="s">
        <v>33</v>
      </c>
      <c r="N39">
        <v>360</v>
      </c>
      <c r="O39">
        <v>18</v>
      </c>
      <c r="P39">
        <v>342</v>
      </c>
      <c r="Q39">
        <f t="shared" si="2"/>
        <v>2025</v>
      </c>
      <c r="R39">
        <f t="shared" si="0"/>
        <v>1</v>
      </c>
      <c r="S39" t="str">
        <f t="shared" si="1"/>
        <v>January</v>
      </c>
    </row>
    <row r="40" spans="1:19">
      <c r="A40" t="s">
        <v>161</v>
      </c>
      <c r="B40" s="2">
        <v>45684</v>
      </c>
      <c r="C40" t="s">
        <v>93</v>
      </c>
      <c r="D40" t="s">
        <v>86</v>
      </c>
      <c r="E40" t="s">
        <v>37</v>
      </c>
      <c r="F40" t="s">
        <v>90</v>
      </c>
      <c r="G40" t="s">
        <v>21</v>
      </c>
      <c r="H40" t="s">
        <v>22</v>
      </c>
      <c r="I40">
        <v>5</v>
      </c>
      <c r="J40">
        <v>900</v>
      </c>
      <c r="K40">
        <v>0</v>
      </c>
      <c r="L40" t="s">
        <v>23</v>
      </c>
      <c r="M40" t="s">
        <v>45</v>
      </c>
      <c r="N40">
        <v>4500</v>
      </c>
      <c r="O40">
        <v>0</v>
      </c>
      <c r="P40">
        <v>4500</v>
      </c>
      <c r="Q40">
        <f t="shared" si="2"/>
        <v>2025</v>
      </c>
      <c r="R40">
        <f t="shared" si="0"/>
        <v>1</v>
      </c>
      <c r="S40" t="str">
        <f t="shared" si="1"/>
        <v>January</v>
      </c>
    </row>
    <row r="41" spans="1:19">
      <c r="A41" t="s">
        <v>162</v>
      </c>
      <c r="B41" s="2">
        <v>45685</v>
      </c>
      <c r="C41" t="s">
        <v>163</v>
      </c>
      <c r="D41" t="s">
        <v>74</v>
      </c>
      <c r="E41" t="s">
        <v>62</v>
      </c>
      <c r="F41" t="s">
        <v>94</v>
      </c>
      <c r="G41" t="s">
        <v>57</v>
      </c>
      <c r="H41" t="s">
        <v>75</v>
      </c>
      <c r="I41">
        <v>5</v>
      </c>
      <c r="J41">
        <v>120</v>
      </c>
      <c r="K41">
        <v>0.1</v>
      </c>
      <c r="L41" t="s">
        <v>44</v>
      </c>
      <c r="M41" t="s">
        <v>24</v>
      </c>
      <c r="N41">
        <v>600</v>
      </c>
      <c r="O41">
        <v>60</v>
      </c>
      <c r="P41">
        <v>540</v>
      </c>
      <c r="Q41">
        <f t="shared" si="2"/>
        <v>2025</v>
      </c>
      <c r="R41">
        <f t="shared" si="0"/>
        <v>1</v>
      </c>
      <c r="S41" t="str">
        <f t="shared" si="1"/>
        <v>January</v>
      </c>
    </row>
    <row r="42" spans="1:19">
      <c r="A42" t="s">
        <v>164</v>
      </c>
      <c r="B42" s="2">
        <v>45685</v>
      </c>
      <c r="C42" t="s">
        <v>165</v>
      </c>
      <c r="D42" t="s">
        <v>89</v>
      </c>
      <c r="E42" t="s">
        <v>37</v>
      </c>
      <c r="F42" t="s">
        <v>166</v>
      </c>
      <c r="G42" t="s">
        <v>21</v>
      </c>
      <c r="H42" t="s">
        <v>83</v>
      </c>
      <c r="I42">
        <v>3</v>
      </c>
      <c r="J42">
        <v>15000</v>
      </c>
      <c r="K42">
        <v>0.1</v>
      </c>
      <c r="L42" t="s">
        <v>44</v>
      </c>
      <c r="M42" t="s">
        <v>33</v>
      </c>
      <c r="N42">
        <v>45000</v>
      </c>
      <c r="O42">
        <v>4500</v>
      </c>
      <c r="P42">
        <v>40500</v>
      </c>
      <c r="Q42">
        <f t="shared" si="2"/>
        <v>2025</v>
      </c>
      <c r="R42">
        <f t="shared" si="0"/>
        <v>1</v>
      </c>
      <c r="S42" t="str">
        <f t="shared" si="1"/>
        <v>January</v>
      </c>
    </row>
    <row r="43" spans="1:19">
      <c r="A43" t="s">
        <v>167</v>
      </c>
      <c r="B43" s="2">
        <v>45686</v>
      </c>
      <c r="C43" t="s">
        <v>168</v>
      </c>
      <c r="D43" t="s">
        <v>123</v>
      </c>
      <c r="E43" t="s">
        <v>62</v>
      </c>
      <c r="F43" t="s">
        <v>169</v>
      </c>
      <c r="G43" t="s">
        <v>30</v>
      </c>
      <c r="H43" t="s">
        <v>49</v>
      </c>
      <c r="I43">
        <v>3</v>
      </c>
      <c r="J43">
        <v>1200</v>
      </c>
      <c r="K43">
        <v>0</v>
      </c>
      <c r="L43" t="s">
        <v>32</v>
      </c>
      <c r="M43" t="s">
        <v>91</v>
      </c>
      <c r="N43">
        <v>3600</v>
      </c>
      <c r="O43">
        <v>0</v>
      </c>
      <c r="P43">
        <v>3600</v>
      </c>
      <c r="Q43">
        <f t="shared" si="2"/>
        <v>2025</v>
      </c>
      <c r="R43">
        <f t="shared" si="0"/>
        <v>1</v>
      </c>
      <c r="S43" t="str">
        <f t="shared" si="1"/>
        <v>January</v>
      </c>
    </row>
    <row r="44" spans="1:19">
      <c r="A44" t="s">
        <v>170</v>
      </c>
      <c r="B44" s="2">
        <v>45687</v>
      </c>
      <c r="C44" t="s">
        <v>171</v>
      </c>
      <c r="D44" t="s">
        <v>61</v>
      </c>
      <c r="E44" t="s">
        <v>37</v>
      </c>
      <c r="F44" t="s">
        <v>136</v>
      </c>
      <c r="G44" t="s">
        <v>57</v>
      </c>
      <c r="H44" t="s">
        <v>97</v>
      </c>
      <c r="I44">
        <v>5</v>
      </c>
      <c r="J44">
        <v>25000</v>
      </c>
      <c r="K44">
        <v>0.05</v>
      </c>
      <c r="L44" t="s">
        <v>44</v>
      </c>
      <c r="M44" t="s">
        <v>33</v>
      </c>
      <c r="N44">
        <v>125000</v>
      </c>
      <c r="O44">
        <v>6250</v>
      </c>
      <c r="P44">
        <v>118750</v>
      </c>
      <c r="Q44">
        <f t="shared" si="2"/>
        <v>2025</v>
      </c>
      <c r="R44">
        <f t="shared" si="0"/>
        <v>1</v>
      </c>
      <c r="S44" t="str">
        <f t="shared" si="1"/>
        <v>January</v>
      </c>
    </row>
    <row r="45" spans="1:19">
      <c r="A45" t="s">
        <v>172</v>
      </c>
      <c r="B45" s="2">
        <v>45687</v>
      </c>
      <c r="C45" t="s">
        <v>138</v>
      </c>
      <c r="D45" t="s">
        <v>106</v>
      </c>
      <c r="E45" t="s">
        <v>55</v>
      </c>
      <c r="F45" t="s">
        <v>154</v>
      </c>
      <c r="G45" t="s">
        <v>71</v>
      </c>
      <c r="H45" t="s">
        <v>128</v>
      </c>
      <c r="I45">
        <v>3</v>
      </c>
      <c r="J45">
        <v>9500</v>
      </c>
      <c r="K45">
        <v>0</v>
      </c>
      <c r="L45" t="s">
        <v>50</v>
      </c>
      <c r="M45" t="s">
        <v>112</v>
      </c>
      <c r="N45">
        <v>28500</v>
      </c>
      <c r="O45">
        <v>0</v>
      </c>
      <c r="P45">
        <v>28500</v>
      </c>
      <c r="Q45">
        <f t="shared" si="2"/>
        <v>2025</v>
      </c>
      <c r="R45">
        <f t="shared" si="0"/>
        <v>1</v>
      </c>
      <c r="S45" t="str">
        <f t="shared" si="1"/>
        <v>January</v>
      </c>
    </row>
    <row r="46" spans="1:19">
      <c r="A46" t="s">
        <v>173</v>
      </c>
      <c r="B46" s="2">
        <v>45687</v>
      </c>
      <c r="C46" t="s">
        <v>68</v>
      </c>
      <c r="D46" t="s">
        <v>135</v>
      </c>
      <c r="E46" t="s">
        <v>55</v>
      </c>
      <c r="F46" t="s">
        <v>150</v>
      </c>
      <c r="G46" t="s">
        <v>30</v>
      </c>
      <c r="H46" t="s">
        <v>125</v>
      </c>
      <c r="I46">
        <v>3</v>
      </c>
      <c r="J46">
        <v>4500</v>
      </c>
      <c r="K46">
        <v>0</v>
      </c>
      <c r="L46" t="s">
        <v>44</v>
      </c>
      <c r="M46" t="s">
        <v>45</v>
      </c>
      <c r="N46">
        <v>13500</v>
      </c>
      <c r="O46">
        <v>0</v>
      </c>
      <c r="P46">
        <v>13500</v>
      </c>
      <c r="Q46">
        <f t="shared" si="2"/>
        <v>2025</v>
      </c>
      <c r="R46">
        <f t="shared" si="0"/>
        <v>1</v>
      </c>
      <c r="S46" t="str">
        <f t="shared" si="1"/>
        <v>January</v>
      </c>
    </row>
    <row r="47" spans="1:19">
      <c r="A47" t="s">
        <v>174</v>
      </c>
      <c r="B47" s="2">
        <v>45688</v>
      </c>
      <c r="C47" t="s">
        <v>175</v>
      </c>
      <c r="D47" t="s">
        <v>127</v>
      </c>
      <c r="E47" t="s">
        <v>37</v>
      </c>
      <c r="F47" t="s">
        <v>38</v>
      </c>
      <c r="G47" t="s">
        <v>30</v>
      </c>
      <c r="H47" t="s">
        <v>31</v>
      </c>
      <c r="I47">
        <v>5</v>
      </c>
      <c r="J47">
        <v>55000</v>
      </c>
      <c r="K47">
        <v>0.1</v>
      </c>
      <c r="L47" t="s">
        <v>32</v>
      </c>
      <c r="M47" t="s">
        <v>112</v>
      </c>
      <c r="N47">
        <v>275000</v>
      </c>
      <c r="O47">
        <v>27500</v>
      </c>
      <c r="P47">
        <v>247500</v>
      </c>
      <c r="Q47">
        <f t="shared" si="2"/>
        <v>2025</v>
      </c>
      <c r="R47">
        <f t="shared" si="0"/>
        <v>1</v>
      </c>
      <c r="S47" t="str">
        <f t="shared" si="1"/>
        <v>January</v>
      </c>
    </row>
    <row r="48" spans="1:19">
      <c r="A48" t="s">
        <v>176</v>
      </c>
      <c r="B48" s="2">
        <v>45688</v>
      </c>
      <c r="C48" t="s">
        <v>177</v>
      </c>
      <c r="D48" t="s">
        <v>36</v>
      </c>
      <c r="E48" t="s">
        <v>55</v>
      </c>
      <c r="F48" t="s">
        <v>56</v>
      </c>
      <c r="G48" t="s">
        <v>21</v>
      </c>
      <c r="H48" t="s">
        <v>22</v>
      </c>
      <c r="I48">
        <v>4</v>
      </c>
      <c r="J48">
        <v>12000</v>
      </c>
      <c r="K48">
        <v>0.05</v>
      </c>
      <c r="L48" t="s">
        <v>32</v>
      </c>
      <c r="M48" t="s">
        <v>91</v>
      </c>
      <c r="N48">
        <v>48000</v>
      </c>
      <c r="O48">
        <v>2400</v>
      </c>
      <c r="P48">
        <v>45600</v>
      </c>
      <c r="Q48">
        <f t="shared" si="2"/>
        <v>2025</v>
      </c>
      <c r="R48">
        <f t="shared" si="0"/>
        <v>1</v>
      </c>
      <c r="S48" t="str">
        <f t="shared" si="1"/>
        <v>January</v>
      </c>
    </row>
    <row r="49" spans="1:19">
      <c r="A49" t="s">
        <v>178</v>
      </c>
      <c r="B49" s="2">
        <v>45689</v>
      </c>
      <c r="C49" t="s">
        <v>179</v>
      </c>
      <c r="D49" t="s">
        <v>54</v>
      </c>
      <c r="E49" t="s">
        <v>28</v>
      </c>
      <c r="F49" t="s">
        <v>82</v>
      </c>
      <c r="G49" t="s">
        <v>30</v>
      </c>
      <c r="H49" t="s">
        <v>125</v>
      </c>
      <c r="I49">
        <v>2</v>
      </c>
      <c r="J49">
        <v>3500</v>
      </c>
      <c r="K49">
        <v>0</v>
      </c>
      <c r="L49" t="s">
        <v>44</v>
      </c>
      <c r="M49" t="s">
        <v>112</v>
      </c>
      <c r="N49">
        <v>7000</v>
      </c>
      <c r="O49">
        <v>0</v>
      </c>
      <c r="P49">
        <v>7000</v>
      </c>
      <c r="Q49">
        <f t="shared" si="2"/>
        <v>2025</v>
      </c>
      <c r="R49">
        <f t="shared" si="0"/>
        <v>2</v>
      </c>
      <c r="S49" t="str">
        <f t="shared" si="1"/>
        <v>February</v>
      </c>
    </row>
    <row r="50" spans="1:19">
      <c r="A50" t="s">
        <v>180</v>
      </c>
      <c r="B50" s="2">
        <v>45691</v>
      </c>
      <c r="C50" t="s">
        <v>141</v>
      </c>
      <c r="D50" t="s">
        <v>61</v>
      </c>
      <c r="E50" t="s">
        <v>55</v>
      </c>
      <c r="F50" t="s">
        <v>56</v>
      </c>
      <c r="G50" t="s">
        <v>21</v>
      </c>
      <c r="H50" t="s">
        <v>181</v>
      </c>
      <c r="I50">
        <v>2</v>
      </c>
      <c r="J50">
        <v>12000</v>
      </c>
      <c r="K50">
        <v>0.05</v>
      </c>
      <c r="L50" t="s">
        <v>32</v>
      </c>
      <c r="M50" t="s">
        <v>24</v>
      </c>
      <c r="N50">
        <v>24000</v>
      </c>
      <c r="O50">
        <v>1200</v>
      </c>
      <c r="P50">
        <v>22800</v>
      </c>
      <c r="Q50">
        <f t="shared" si="2"/>
        <v>2025</v>
      </c>
      <c r="R50">
        <f t="shared" si="0"/>
        <v>2</v>
      </c>
      <c r="S50" t="str">
        <f t="shared" si="1"/>
        <v>February</v>
      </c>
    </row>
    <row r="51" spans="1:19">
      <c r="A51" t="s">
        <v>182</v>
      </c>
      <c r="B51" s="2">
        <v>45691</v>
      </c>
      <c r="C51" t="s">
        <v>183</v>
      </c>
      <c r="D51" t="s">
        <v>69</v>
      </c>
      <c r="E51" t="s">
        <v>37</v>
      </c>
      <c r="F51" t="s">
        <v>38</v>
      </c>
      <c r="G51" t="s">
        <v>30</v>
      </c>
      <c r="H51" t="s">
        <v>103</v>
      </c>
      <c r="I51">
        <v>4</v>
      </c>
      <c r="J51">
        <v>55000</v>
      </c>
      <c r="K51">
        <v>0</v>
      </c>
      <c r="L51" t="s">
        <v>44</v>
      </c>
      <c r="M51" t="s">
        <v>33</v>
      </c>
      <c r="N51">
        <v>220000</v>
      </c>
      <c r="O51">
        <v>0</v>
      </c>
      <c r="P51">
        <v>220000</v>
      </c>
      <c r="Q51">
        <f t="shared" si="2"/>
        <v>2025</v>
      </c>
      <c r="R51">
        <f t="shared" si="0"/>
        <v>2</v>
      </c>
      <c r="S51" t="str">
        <f t="shared" si="1"/>
        <v>February</v>
      </c>
    </row>
    <row r="52" spans="1:19">
      <c r="A52" t="s">
        <v>184</v>
      </c>
      <c r="B52" s="2">
        <v>45692</v>
      </c>
      <c r="C52" t="s">
        <v>85</v>
      </c>
      <c r="D52" t="s">
        <v>61</v>
      </c>
      <c r="E52" t="s">
        <v>37</v>
      </c>
      <c r="F52" t="s">
        <v>90</v>
      </c>
      <c r="G52" t="s">
        <v>21</v>
      </c>
      <c r="H52" t="s">
        <v>185</v>
      </c>
      <c r="I52">
        <v>5</v>
      </c>
      <c r="J52">
        <v>900</v>
      </c>
      <c r="K52">
        <v>0.05</v>
      </c>
      <c r="L52" t="s">
        <v>32</v>
      </c>
      <c r="M52" t="s">
        <v>45</v>
      </c>
      <c r="N52">
        <v>4500</v>
      </c>
      <c r="O52">
        <v>225</v>
      </c>
      <c r="P52">
        <v>4275</v>
      </c>
      <c r="Q52">
        <f t="shared" si="2"/>
        <v>2025</v>
      </c>
      <c r="R52">
        <f t="shared" si="0"/>
        <v>2</v>
      </c>
      <c r="S52" t="str">
        <f t="shared" si="1"/>
        <v>February</v>
      </c>
    </row>
    <row r="53" spans="1:19">
      <c r="A53" t="s">
        <v>186</v>
      </c>
      <c r="B53" s="2">
        <v>45693</v>
      </c>
      <c r="C53" t="s">
        <v>93</v>
      </c>
      <c r="D53" t="s">
        <v>102</v>
      </c>
      <c r="E53" t="s">
        <v>62</v>
      </c>
      <c r="F53" t="s">
        <v>78</v>
      </c>
      <c r="G53" t="s">
        <v>71</v>
      </c>
      <c r="H53" t="s">
        <v>187</v>
      </c>
      <c r="I53">
        <v>5</v>
      </c>
      <c r="J53">
        <v>250</v>
      </c>
      <c r="K53">
        <v>0</v>
      </c>
      <c r="L53" t="s">
        <v>44</v>
      </c>
      <c r="M53" t="s">
        <v>112</v>
      </c>
      <c r="N53">
        <v>1250</v>
      </c>
      <c r="O53">
        <v>0</v>
      </c>
      <c r="P53">
        <v>1250</v>
      </c>
      <c r="Q53">
        <f t="shared" si="2"/>
        <v>2025</v>
      </c>
      <c r="R53">
        <f t="shared" si="0"/>
        <v>2</v>
      </c>
      <c r="S53" t="str">
        <f t="shared" si="1"/>
        <v>February</v>
      </c>
    </row>
    <row r="54" spans="1:19">
      <c r="A54" t="s">
        <v>188</v>
      </c>
      <c r="B54" s="2">
        <v>45696</v>
      </c>
      <c r="C54" t="s">
        <v>189</v>
      </c>
      <c r="D54" t="s">
        <v>102</v>
      </c>
      <c r="E54" t="s">
        <v>19</v>
      </c>
      <c r="F54" t="s">
        <v>20</v>
      </c>
      <c r="G54" t="s">
        <v>57</v>
      </c>
      <c r="H54" t="s">
        <v>58</v>
      </c>
      <c r="I54">
        <v>3</v>
      </c>
      <c r="J54">
        <v>9000</v>
      </c>
      <c r="K54">
        <v>0</v>
      </c>
      <c r="L54" t="s">
        <v>23</v>
      </c>
      <c r="M54" t="s">
        <v>91</v>
      </c>
      <c r="N54">
        <v>27000</v>
      </c>
      <c r="O54">
        <v>0</v>
      </c>
      <c r="P54">
        <v>27000</v>
      </c>
      <c r="Q54">
        <f t="shared" si="2"/>
        <v>2025</v>
      </c>
      <c r="R54">
        <f t="shared" si="0"/>
        <v>2</v>
      </c>
      <c r="S54" t="str">
        <f t="shared" si="1"/>
        <v>February</v>
      </c>
    </row>
    <row r="55" spans="1:19">
      <c r="A55" t="s">
        <v>190</v>
      </c>
      <c r="B55" s="2">
        <v>45697</v>
      </c>
      <c r="C55" t="s">
        <v>101</v>
      </c>
      <c r="D55" t="s">
        <v>135</v>
      </c>
      <c r="E55" t="s">
        <v>28</v>
      </c>
      <c r="F55" t="s">
        <v>148</v>
      </c>
      <c r="G55" t="s">
        <v>30</v>
      </c>
      <c r="H55" t="s">
        <v>125</v>
      </c>
      <c r="I55">
        <v>2</v>
      </c>
      <c r="J55">
        <v>1800</v>
      </c>
      <c r="K55">
        <v>0.05</v>
      </c>
      <c r="L55" t="s">
        <v>50</v>
      </c>
      <c r="M55" t="s">
        <v>33</v>
      </c>
      <c r="N55">
        <v>3600</v>
      </c>
      <c r="O55">
        <v>180</v>
      </c>
      <c r="P55">
        <v>3420</v>
      </c>
      <c r="Q55">
        <f t="shared" si="2"/>
        <v>2025</v>
      </c>
      <c r="R55">
        <f t="shared" si="0"/>
        <v>2</v>
      </c>
      <c r="S55" t="str">
        <f t="shared" si="1"/>
        <v>February</v>
      </c>
    </row>
    <row r="56" spans="1:19">
      <c r="A56" t="s">
        <v>191</v>
      </c>
      <c r="B56" s="2">
        <v>45698</v>
      </c>
      <c r="C56" t="s">
        <v>192</v>
      </c>
      <c r="D56" t="s">
        <v>115</v>
      </c>
      <c r="E56" t="s">
        <v>55</v>
      </c>
      <c r="F56" t="s">
        <v>154</v>
      </c>
      <c r="G56" t="s">
        <v>30</v>
      </c>
      <c r="H56" t="s">
        <v>125</v>
      </c>
      <c r="I56">
        <v>5</v>
      </c>
      <c r="J56">
        <v>9500</v>
      </c>
      <c r="K56">
        <v>0.15</v>
      </c>
      <c r="L56" t="s">
        <v>32</v>
      </c>
      <c r="M56" t="s">
        <v>39</v>
      </c>
      <c r="N56">
        <v>47500</v>
      </c>
      <c r="O56">
        <v>7125</v>
      </c>
      <c r="P56">
        <v>40375</v>
      </c>
      <c r="Q56">
        <f t="shared" si="2"/>
        <v>2025</v>
      </c>
      <c r="R56">
        <f t="shared" si="0"/>
        <v>2</v>
      </c>
      <c r="S56" t="str">
        <f t="shared" si="1"/>
        <v>February</v>
      </c>
    </row>
    <row r="57" spans="1:19">
      <c r="A57" t="s">
        <v>193</v>
      </c>
      <c r="B57" s="2">
        <v>45699</v>
      </c>
      <c r="C57" t="s">
        <v>132</v>
      </c>
      <c r="D57" t="s">
        <v>42</v>
      </c>
      <c r="E57" t="s">
        <v>37</v>
      </c>
      <c r="F57" t="s">
        <v>136</v>
      </c>
      <c r="G57" t="s">
        <v>21</v>
      </c>
      <c r="H57" t="s">
        <v>83</v>
      </c>
      <c r="I57">
        <v>1</v>
      </c>
      <c r="J57">
        <v>25000</v>
      </c>
      <c r="K57">
        <v>0.05</v>
      </c>
      <c r="L57" t="s">
        <v>32</v>
      </c>
      <c r="M57" t="s">
        <v>112</v>
      </c>
      <c r="N57">
        <v>25000</v>
      </c>
      <c r="O57">
        <v>1250</v>
      </c>
      <c r="P57">
        <v>23750</v>
      </c>
      <c r="Q57">
        <f t="shared" si="2"/>
        <v>2025</v>
      </c>
      <c r="R57">
        <f t="shared" si="0"/>
        <v>2</v>
      </c>
      <c r="S57" t="str">
        <f t="shared" si="1"/>
        <v>February</v>
      </c>
    </row>
    <row r="58" spans="1:19">
      <c r="A58" t="s">
        <v>194</v>
      </c>
      <c r="B58" s="2">
        <v>45700</v>
      </c>
      <c r="C58" t="s">
        <v>195</v>
      </c>
      <c r="D58" t="s">
        <v>74</v>
      </c>
      <c r="E58" t="s">
        <v>37</v>
      </c>
      <c r="F58" t="s">
        <v>196</v>
      </c>
      <c r="G58" t="s">
        <v>71</v>
      </c>
      <c r="H58" t="s">
        <v>99</v>
      </c>
      <c r="I58">
        <v>4</v>
      </c>
      <c r="J58">
        <v>2500</v>
      </c>
      <c r="K58">
        <v>0</v>
      </c>
      <c r="L58" t="s">
        <v>50</v>
      </c>
      <c r="M58" t="s">
        <v>51</v>
      </c>
      <c r="N58">
        <v>10000</v>
      </c>
      <c r="O58">
        <v>0</v>
      </c>
      <c r="P58">
        <v>10000</v>
      </c>
      <c r="Q58">
        <f t="shared" si="2"/>
        <v>2025</v>
      </c>
      <c r="R58">
        <f t="shared" si="0"/>
        <v>2</v>
      </c>
      <c r="S58" t="str">
        <f t="shared" si="1"/>
        <v>February</v>
      </c>
    </row>
    <row r="59" spans="1:19">
      <c r="A59" t="s">
        <v>197</v>
      </c>
      <c r="B59" s="2">
        <v>45701</v>
      </c>
      <c r="C59" t="s">
        <v>198</v>
      </c>
      <c r="D59" t="s">
        <v>89</v>
      </c>
      <c r="E59" t="s">
        <v>37</v>
      </c>
      <c r="F59" t="s">
        <v>43</v>
      </c>
      <c r="G59" t="s">
        <v>71</v>
      </c>
      <c r="H59" t="s">
        <v>128</v>
      </c>
      <c r="I59">
        <v>3</v>
      </c>
      <c r="J59">
        <v>1800</v>
      </c>
      <c r="K59">
        <v>0</v>
      </c>
      <c r="L59" t="s">
        <v>32</v>
      </c>
      <c r="M59" t="s">
        <v>33</v>
      </c>
      <c r="N59">
        <v>5400</v>
      </c>
      <c r="O59">
        <v>0</v>
      </c>
      <c r="P59">
        <v>5400</v>
      </c>
      <c r="Q59">
        <f t="shared" si="2"/>
        <v>2025</v>
      </c>
      <c r="R59">
        <f t="shared" si="0"/>
        <v>2</v>
      </c>
      <c r="S59" t="str">
        <f t="shared" si="1"/>
        <v>February</v>
      </c>
    </row>
    <row r="60" spans="1:19">
      <c r="A60" t="s">
        <v>199</v>
      </c>
      <c r="B60" s="2">
        <v>45703</v>
      </c>
      <c r="C60" t="s">
        <v>200</v>
      </c>
      <c r="D60" t="s">
        <v>36</v>
      </c>
      <c r="E60" t="s">
        <v>55</v>
      </c>
      <c r="F60" t="s">
        <v>145</v>
      </c>
      <c r="G60" t="s">
        <v>21</v>
      </c>
      <c r="H60" t="s">
        <v>83</v>
      </c>
      <c r="I60">
        <v>2</v>
      </c>
      <c r="J60">
        <v>1800</v>
      </c>
      <c r="K60">
        <v>0</v>
      </c>
      <c r="L60" t="s">
        <v>32</v>
      </c>
      <c r="M60" t="s">
        <v>112</v>
      </c>
      <c r="N60">
        <v>3600</v>
      </c>
      <c r="O60">
        <v>0</v>
      </c>
      <c r="P60">
        <v>3600</v>
      </c>
      <c r="Q60">
        <f t="shared" si="2"/>
        <v>2025</v>
      </c>
      <c r="R60">
        <f t="shared" si="0"/>
        <v>2</v>
      </c>
      <c r="S60" t="str">
        <f t="shared" si="1"/>
        <v>February</v>
      </c>
    </row>
    <row r="61" spans="1:19">
      <c r="A61" t="s">
        <v>201</v>
      </c>
      <c r="B61" s="2">
        <v>45703</v>
      </c>
      <c r="C61" t="s">
        <v>156</v>
      </c>
      <c r="D61" t="s">
        <v>69</v>
      </c>
      <c r="E61" t="s">
        <v>62</v>
      </c>
      <c r="F61" t="s">
        <v>169</v>
      </c>
      <c r="G61" t="s">
        <v>71</v>
      </c>
      <c r="H61" t="s">
        <v>99</v>
      </c>
      <c r="I61">
        <v>3</v>
      </c>
      <c r="J61">
        <v>1200</v>
      </c>
      <c r="K61">
        <v>0</v>
      </c>
      <c r="L61" t="s">
        <v>23</v>
      </c>
      <c r="M61" t="s">
        <v>33</v>
      </c>
      <c r="N61">
        <v>3600</v>
      </c>
      <c r="O61">
        <v>0</v>
      </c>
      <c r="P61">
        <v>3600</v>
      </c>
      <c r="Q61">
        <f t="shared" si="2"/>
        <v>2025</v>
      </c>
      <c r="R61">
        <f t="shared" si="0"/>
        <v>2</v>
      </c>
      <c r="S61" t="str">
        <f t="shared" si="1"/>
        <v>February</v>
      </c>
    </row>
    <row r="62" spans="1:19">
      <c r="A62" t="s">
        <v>202</v>
      </c>
      <c r="B62" s="2">
        <v>45704</v>
      </c>
      <c r="C62" t="s">
        <v>203</v>
      </c>
      <c r="D62" t="s">
        <v>115</v>
      </c>
      <c r="E62" t="s">
        <v>55</v>
      </c>
      <c r="F62" t="s">
        <v>154</v>
      </c>
      <c r="G62" t="s">
        <v>71</v>
      </c>
      <c r="H62" t="s">
        <v>128</v>
      </c>
      <c r="I62">
        <v>1</v>
      </c>
      <c r="J62">
        <v>9500</v>
      </c>
      <c r="K62">
        <v>0.05</v>
      </c>
      <c r="L62" t="s">
        <v>23</v>
      </c>
      <c r="M62" t="s">
        <v>39</v>
      </c>
      <c r="N62">
        <v>9500</v>
      </c>
      <c r="O62">
        <v>475</v>
      </c>
      <c r="P62">
        <v>9025</v>
      </c>
      <c r="Q62">
        <f t="shared" si="2"/>
        <v>2025</v>
      </c>
      <c r="R62">
        <f t="shared" si="0"/>
        <v>2</v>
      </c>
      <c r="S62" t="str">
        <f t="shared" si="1"/>
        <v>February</v>
      </c>
    </row>
    <row r="63" spans="1:19">
      <c r="A63" t="s">
        <v>204</v>
      </c>
      <c r="B63" s="2">
        <v>45705</v>
      </c>
      <c r="C63" t="s">
        <v>80</v>
      </c>
      <c r="D63" t="s">
        <v>86</v>
      </c>
      <c r="E63" t="s">
        <v>28</v>
      </c>
      <c r="F63" t="s">
        <v>130</v>
      </c>
      <c r="G63" t="s">
        <v>21</v>
      </c>
      <c r="H63" t="s">
        <v>185</v>
      </c>
      <c r="I63">
        <v>1</v>
      </c>
      <c r="J63">
        <v>2200</v>
      </c>
      <c r="K63">
        <v>0.05</v>
      </c>
      <c r="L63" t="s">
        <v>32</v>
      </c>
      <c r="M63" t="s">
        <v>45</v>
      </c>
      <c r="N63">
        <v>2200</v>
      </c>
      <c r="O63">
        <v>110</v>
      </c>
      <c r="P63">
        <v>2090</v>
      </c>
      <c r="Q63">
        <f t="shared" si="2"/>
        <v>2025</v>
      </c>
      <c r="R63">
        <f t="shared" si="0"/>
        <v>2</v>
      </c>
      <c r="S63" t="str">
        <f t="shared" si="1"/>
        <v>February</v>
      </c>
    </row>
    <row r="64" spans="1:19">
      <c r="A64" t="s">
        <v>205</v>
      </c>
      <c r="B64" s="2">
        <v>45706</v>
      </c>
      <c r="C64" t="s">
        <v>168</v>
      </c>
      <c r="D64" t="s">
        <v>81</v>
      </c>
      <c r="E64" t="s">
        <v>19</v>
      </c>
      <c r="F64" t="s">
        <v>139</v>
      </c>
      <c r="G64" t="s">
        <v>57</v>
      </c>
      <c r="H64" t="s">
        <v>97</v>
      </c>
      <c r="I64">
        <v>2</v>
      </c>
      <c r="J64">
        <v>6000</v>
      </c>
      <c r="K64">
        <v>0.1</v>
      </c>
      <c r="L64" t="s">
        <v>32</v>
      </c>
      <c r="M64" t="s">
        <v>39</v>
      </c>
      <c r="N64">
        <v>12000</v>
      </c>
      <c r="O64">
        <v>1200</v>
      </c>
      <c r="P64">
        <v>10800</v>
      </c>
      <c r="Q64">
        <f t="shared" si="2"/>
        <v>2025</v>
      </c>
      <c r="R64">
        <f t="shared" si="0"/>
        <v>2</v>
      </c>
      <c r="S64" t="str">
        <f t="shared" si="1"/>
        <v>February</v>
      </c>
    </row>
    <row r="65" spans="1:19">
      <c r="A65" t="s">
        <v>206</v>
      </c>
      <c r="B65" s="2">
        <v>45707</v>
      </c>
      <c r="C65" t="s">
        <v>177</v>
      </c>
      <c r="D65" t="s">
        <v>81</v>
      </c>
      <c r="E65" t="s">
        <v>19</v>
      </c>
      <c r="F65" t="s">
        <v>48</v>
      </c>
      <c r="G65" t="s">
        <v>30</v>
      </c>
      <c r="H65" t="s">
        <v>49</v>
      </c>
      <c r="I65">
        <v>3</v>
      </c>
      <c r="J65">
        <v>7500</v>
      </c>
      <c r="K65">
        <v>0.15</v>
      </c>
      <c r="L65" t="s">
        <v>44</v>
      </c>
      <c r="M65" t="s">
        <v>24</v>
      </c>
      <c r="N65">
        <v>22500</v>
      </c>
      <c r="O65">
        <v>3375</v>
      </c>
      <c r="P65">
        <v>19125</v>
      </c>
      <c r="Q65">
        <f t="shared" si="2"/>
        <v>2025</v>
      </c>
      <c r="R65">
        <f t="shared" si="0"/>
        <v>2</v>
      </c>
      <c r="S65" t="str">
        <f t="shared" si="1"/>
        <v>February</v>
      </c>
    </row>
    <row r="66" spans="1:19">
      <c r="A66" t="s">
        <v>207</v>
      </c>
      <c r="B66" s="2">
        <v>45708</v>
      </c>
      <c r="C66" t="s">
        <v>208</v>
      </c>
      <c r="D66" t="s">
        <v>69</v>
      </c>
      <c r="E66" t="s">
        <v>37</v>
      </c>
      <c r="F66" t="s">
        <v>166</v>
      </c>
      <c r="G66" t="s">
        <v>71</v>
      </c>
      <c r="H66" t="s">
        <v>128</v>
      </c>
      <c r="I66">
        <v>2</v>
      </c>
      <c r="J66">
        <v>15000</v>
      </c>
      <c r="K66">
        <v>0</v>
      </c>
      <c r="L66" t="s">
        <v>50</v>
      </c>
      <c r="M66" t="s">
        <v>51</v>
      </c>
      <c r="N66">
        <v>30000</v>
      </c>
      <c r="O66">
        <v>0</v>
      </c>
      <c r="P66">
        <v>30000</v>
      </c>
      <c r="Q66">
        <f t="shared" si="2"/>
        <v>2025</v>
      </c>
      <c r="R66">
        <f t="shared" si="0"/>
        <v>2</v>
      </c>
      <c r="S66" t="str">
        <f t="shared" si="1"/>
        <v>February</v>
      </c>
    </row>
    <row r="67" spans="1:19">
      <c r="A67" t="s">
        <v>209</v>
      </c>
      <c r="B67" s="2">
        <v>45709</v>
      </c>
      <c r="C67" t="s">
        <v>177</v>
      </c>
      <c r="D67" t="s">
        <v>135</v>
      </c>
      <c r="E67" t="s">
        <v>19</v>
      </c>
      <c r="F67" t="s">
        <v>139</v>
      </c>
      <c r="G67" t="s">
        <v>57</v>
      </c>
      <c r="H67" t="s">
        <v>75</v>
      </c>
      <c r="I67">
        <v>2</v>
      </c>
      <c r="J67">
        <v>6000</v>
      </c>
      <c r="K67">
        <v>0</v>
      </c>
      <c r="L67" t="s">
        <v>23</v>
      </c>
      <c r="M67" t="s">
        <v>33</v>
      </c>
      <c r="N67">
        <v>12000</v>
      </c>
      <c r="O67">
        <v>0</v>
      </c>
      <c r="P67">
        <v>12000</v>
      </c>
      <c r="Q67">
        <f t="shared" ref="Q67:Q130" si="3">YEAR(B67)</f>
        <v>2025</v>
      </c>
      <c r="R67">
        <f t="shared" ref="R67:R130" si="4">MONTH(B67)</f>
        <v>2</v>
      </c>
      <c r="S67" t="str">
        <f t="shared" ref="S67:S130" si="5">TEXT(B67,"mmmm")</f>
        <v>February</v>
      </c>
    </row>
    <row r="68" spans="1:19">
      <c r="A68" t="s">
        <v>210</v>
      </c>
      <c r="B68" s="2">
        <v>45710</v>
      </c>
      <c r="C68" t="s">
        <v>195</v>
      </c>
      <c r="D68" t="s">
        <v>69</v>
      </c>
      <c r="E68" t="s">
        <v>37</v>
      </c>
      <c r="F68" t="s">
        <v>196</v>
      </c>
      <c r="G68" t="s">
        <v>57</v>
      </c>
      <c r="H68" t="s">
        <v>142</v>
      </c>
      <c r="I68">
        <v>5</v>
      </c>
      <c r="J68">
        <v>2500</v>
      </c>
      <c r="K68">
        <v>0</v>
      </c>
      <c r="L68" t="s">
        <v>32</v>
      </c>
      <c r="M68" t="s">
        <v>33</v>
      </c>
      <c r="N68">
        <v>12500</v>
      </c>
      <c r="O68">
        <v>0</v>
      </c>
      <c r="P68">
        <v>12500</v>
      </c>
      <c r="Q68">
        <f t="shared" si="3"/>
        <v>2025</v>
      </c>
      <c r="R68">
        <f t="shared" si="4"/>
        <v>2</v>
      </c>
      <c r="S68" t="str">
        <f t="shared" si="5"/>
        <v>February</v>
      </c>
    </row>
    <row r="69" spans="1:19">
      <c r="A69" t="s">
        <v>211</v>
      </c>
      <c r="B69" s="2">
        <v>45711</v>
      </c>
      <c r="C69" t="s">
        <v>212</v>
      </c>
      <c r="D69" t="s">
        <v>36</v>
      </c>
      <c r="E69" t="s">
        <v>55</v>
      </c>
      <c r="F69" t="s">
        <v>213</v>
      </c>
      <c r="G69" t="s">
        <v>21</v>
      </c>
      <c r="H69" t="s">
        <v>185</v>
      </c>
      <c r="I69">
        <v>2</v>
      </c>
      <c r="J69">
        <v>8500</v>
      </c>
      <c r="K69">
        <v>0.1</v>
      </c>
      <c r="L69" t="s">
        <v>44</v>
      </c>
      <c r="M69" t="s">
        <v>24</v>
      </c>
      <c r="N69">
        <v>17000</v>
      </c>
      <c r="O69">
        <v>1700</v>
      </c>
      <c r="P69">
        <v>15300</v>
      </c>
      <c r="Q69">
        <f t="shared" si="3"/>
        <v>2025</v>
      </c>
      <c r="R69">
        <f t="shared" si="4"/>
        <v>2</v>
      </c>
      <c r="S69" t="str">
        <f t="shared" si="5"/>
        <v>February</v>
      </c>
    </row>
    <row r="70" spans="1:19">
      <c r="A70" t="s">
        <v>214</v>
      </c>
      <c r="B70" s="2">
        <v>45711</v>
      </c>
      <c r="C70" t="s">
        <v>47</v>
      </c>
      <c r="D70" t="s">
        <v>135</v>
      </c>
      <c r="E70" t="s">
        <v>28</v>
      </c>
      <c r="F70" t="s">
        <v>66</v>
      </c>
      <c r="G70" t="s">
        <v>21</v>
      </c>
      <c r="H70" t="s">
        <v>185</v>
      </c>
      <c r="I70">
        <v>5</v>
      </c>
      <c r="J70">
        <v>900</v>
      </c>
      <c r="K70">
        <v>0.1</v>
      </c>
      <c r="L70" t="s">
        <v>23</v>
      </c>
      <c r="M70" t="s">
        <v>45</v>
      </c>
      <c r="N70">
        <v>4500</v>
      </c>
      <c r="O70">
        <v>450</v>
      </c>
      <c r="P70">
        <v>4050</v>
      </c>
      <c r="Q70">
        <f t="shared" si="3"/>
        <v>2025</v>
      </c>
      <c r="R70">
        <f t="shared" si="4"/>
        <v>2</v>
      </c>
      <c r="S70" t="str">
        <f t="shared" si="5"/>
        <v>February</v>
      </c>
    </row>
    <row r="71" spans="1:19">
      <c r="A71" t="s">
        <v>215</v>
      </c>
      <c r="B71" s="2">
        <v>45711</v>
      </c>
      <c r="C71" t="s">
        <v>216</v>
      </c>
      <c r="D71" t="s">
        <v>61</v>
      </c>
      <c r="E71" t="s">
        <v>37</v>
      </c>
      <c r="F71" t="s">
        <v>38</v>
      </c>
      <c r="G71" t="s">
        <v>71</v>
      </c>
      <c r="H71" t="s">
        <v>187</v>
      </c>
      <c r="I71">
        <v>2</v>
      </c>
      <c r="J71">
        <v>55000</v>
      </c>
      <c r="K71">
        <v>0.05</v>
      </c>
      <c r="L71" t="s">
        <v>23</v>
      </c>
      <c r="M71" t="s">
        <v>112</v>
      </c>
      <c r="N71">
        <v>110000</v>
      </c>
      <c r="O71">
        <v>5500</v>
      </c>
      <c r="P71">
        <v>104500</v>
      </c>
      <c r="Q71">
        <f t="shared" si="3"/>
        <v>2025</v>
      </c>
      <c r="R71">
        <f t="shared" si="4"/>
        <v>2</v>
      </c>
      <c r="S71" t="str">
        <f t="shared" si="5"/>
        <v>February</v>
      </c>
    </row>
    <row r="72" spans="1:19">
      <c r="A72" t="s">
        <v>217</v>
      </c>
      <c r="B72" s="2">
        <v>45711</v>
      </c>
      <c r="C72" t="s">
        <v>85</v>
      </c>
      <c r="D72" t="s">
        <v>61</v>
      </c>
      <c r="E72" t="s">
        <v>37</v>
      </c>
      <c r="F72" t="s">
        <v>196</v>
      </c>
      <c r="G72" t="s">
        <v>30</v>
      </c>
      <c r="H72" t="s">
        <v>103</v>
      </c>
      <c r="I72">
        <v>5</v>
      </c>
      <c r="J72">
        <v>2500</v>
      </c>
      <c r="K72">
        <v>0.05</v>
      </c>
      <c r="L72" t="s">
        <v>32</v>
      </c>
      <c r="M72" t="s">
        <v>91</v>
      </c>
      <c r="N72">
        <v>12500</v>
      </c>
      <c r="O72">
        <v>625</v>
      </c>
      <c r="P72">
        <v>11875</v>
      </c>
      <c r="Q72">
        <f t="shared" si="3"/>
        <v>2025</v>
      </c>
      <c r="R72">
        <f t="shared" si="4"/>
        <v>2</v>
      </c>
      <c r="S72" t="str">
        <f t="shared" si="5"/>
        <v>February</v>
      </c>
    </row>
    <row r="73" spans="1:19">
      <c r="A73" t="s">
        <v>218</v>
      </c>
      <c r="B73" s="2">
        <v>45711</v>
      </c>
      <c r="C73" t="s">
        <v>88</v>
      </c>
      <c r="D73" t="s">
        <v>36</v>
      </c>
      <c r="E73" t="s">
        <v>28</v>
      </c>
      <c r="F73" t="s">
        <v>148</v>
      </c>
      <c r="G73" t="s">
        <v>57</v>
      </c>
      <c r="H73" t="s">
        <v>97</v>
      </c>
      <c r="I73">
        <v>3</v>
      </c>
      <c r="J73">
        <v>1800</v>
      </c>
      <c r="K73">
        <v>0.05</v>
      </c>
      <c r="L73" t="s">
        <v>23</v>
      </c>
      <c r="M73" t="s">
        <v>107</v>
      </c>
      <c r="N73">
        <v>5400</v>
      </c>
      <c r="O73">
        <v>270</v>
      </c>
      <c r="P73">
        <v>5130</v>
      </c>
      <c r="Q73">
        <f t="shared" si="3"/>
        <v>2025</v>
      </c>
      <c r="R73">
        <f t="shared" si="4"/>
        <v>2</v>
      </c>
      <c r="S73" t="str">
        <f t="shared" si="5"/>
        <v>February</v>
      </c>
    </row>
    <row r="74" spans="1:19">
      <c r="A74" t="s">
        <v>219</v>
      </c>
      <c r="B74" s="2">
        <v>45712</v>
      </c>
      <c r="C74" t="s">
        <v>77</v>
      </c>
      <c r="D74" t="s">
        <v>115</v>
      </c>
      <c r="E74" t="s">
        <v>37</v>
      </c>
      <c r="F74" t="s">
        <v>196</v>
      </c>
      <c r="G74" t="s">
        <v>71</v>
      </c>
      <c r="H74" t="s">
        <v>72</v>
      </c>
      <c r="I74">
        <v>5</v>
      </c>
      <c r="J74">
        <v>2500</v>
      </c>
      <c r="K74">
        <v>0.05</v>
      </c>
      <c r="L74" t="s">
        <v>23</v>
      </c>
      <c r="M74" t="s">
        <v>112</v>
      </c>
      <c r="N74">
        <v>12500</v>
      </c>
      <c r="O74">
        <v>625</v>
      </c>
      <c r="P74">
        <v>11875</v>
      </c>
      <c r="Q74">
        <f t="shared" si="3"/>
        <v>2025</v>
      </c>
      <c r="R74">
        <f t="shared" si="4"/>
        <v>2</v>
      </c>
      <c r="S74" t="str">
        <f t="shared" si="5"/>
        <v>February</v>
      </c>
    </row>
    <row r="75" spans="1:19">
      <c r="A75" t="s">
        <v>220</v>
      </c>
      <c r="B75" s="2">
        <v>45712</v>
      </c>
      <c r="C75" t="s">
        <v>221</v>
      </c>
      <c r="D75" t="s">
        <v>61</v>
      </c>
      <c r="E75" t="s">
        <v>62</v>
      </c>
      <c r="F75" t="s">
        <v>169</v>
      </c>
      <c r="G75" t="s">
        <v>71</v>
      </c>
      <c r="H75" t="s">
        <v>72</v>
      </c>
      <c r="I75">
        <v>3</v>
      </c>
      <c r="J75">
        <v>1200</v>
      </c>
      <c r="K75">
        <v>0.15</v>
      </c>
      <c r="L75" t="s">
        <v>23</v>
      </c>
      <c r="M75" t="s">
        <v>112</v>
      </c>
      <c r="N75">
        <v>3600</v>
      </c>
      <c r="O75">
        <v>540</v>
      </c>
      <c r="P75">
        <v>3060</v>
      </c>
      <c r="Q75">
        <f t="shared" si="3"/>
        <v>2025</v>
      </c>
      <c r="R75">
        <f t="shared" si="4"/>
        <v>2</v>
      </c>
      <c r="S75" t="str">
        <f t="shared" si="5"/>
        <v>February</v>
      </c>
    </row>
    <row r="76" spans="1:19">
      <c r="A76" t="s">
        <v>222</v>
      </c>
      <c r="B76" s="2">
        <v>45713</v>
      </c>
      <c r="C76" t="s">
        <v>223</v>
      </c>
      <c r="D76" t="s">
        <v>89</v>
      </c>
      <c r="E76" t="s">
        <v>19</v>
      </c>
      <c r="F76" t="s">
        <v>20</v>
      </c>
      <c r="G76" t="s">
        <v>30</v>
      </c>
      <c r="H76" t="s">
        <v>125</v>
      </c>
      <c r="I76">
        <v>1</v>
      </c>
      <c r="J76">
        <v>9000</v>
      </c>
      <c r="K76">
        <v>0.1</v>
      </c>
      <c r="L76" t="s">
        <v>50</v>
      </c>
      <c r="M76" t="s">
        <v>39</v>
      </c>
      <c r="N76">
        <v>9000</v>
      </c>
      <c r="O76">
        <v>900</v>
      </c>
      <c r="P76">
        <v>8100</v>
      </c>
      <c r="Q76">
        <f t="shared" si="3"/>
        <v>2025</v>
      </c>
      <c r="R76">
        <f t="shared" si="4"/>
        <v>2</v>
      </c>
      <c r="S76" t="str">
        <f t="shared" si="5"/>
        <v>February</v>
      </c>
    </row>
    <row r="77" spans="1:19">
      <c r="A77" t="s">
        <v>224</v>
      </c>
      <c r="B77" s="2">
        <v>45714</v>
      </c>
      <c r="C77" t="s">
        <v>223</v>
      </c>
      <c r="D77" t="s">
        <v>86</v>
      </c>
      <c r="E77" t="s">
        <v>37</v>
      </c>
      <c r="F77" t="s">
        <v>43</v>
      </c>
      <c r="G77" t="s">
        <v>57</v>
      </c>
      <c r="H77" t="s">
        <v>75</v>
      </c>
      <c r="I77">
        <v>3</v>
      </c>
      <c r="J77">
        <v>1800</v>
      </c>
      <c r="K77">
        <v>0</v>
      </c>
      <c r="L77" t="s">
        <v>50</v>
      </c>
      <c r="M77" t="s">
        <v>45</v>
      </c>
      <c r="N77">
        <v>5400</v>
      </c>
      <c r="O77">
        <v>0</v>
      </c>
      <c r="P77">
        <v>5400</v>
      </c>
      <c r="Q77">
        <f t="shared" si="3"/>
        <v>2025</v>
      </c>
      <c r="R77">
        <f t="shared" si="4"/>
        <v>2</v>
      </c>
      <c r="S77" t="str">
        <f t="shared" si="5"/>
        <v>February</v>
      </c>
    </row>
    <row r="78" spans="1:19">
      <c r="A78" t="s">
        <v>225</v>
      </c>
      <c r="B78" s="2">
        <v>45714</v>
      </c>
      <c r="C78" t="s">
        <v>189</v>
      </c>
      <c r="D78" t="s">
        <v>74</v>
      </c>
      <c r="E78" t="s">
        <v>55</v>
      </c>
      <c r="F78" t="s">
        <v>213</v>
      </c>
      <c r="G78" t="s">
        <v>57</v>
      </c>
      <c r="H78" t="s">
        <v>75</v>
      </c>
      <c r="I78">
        <v>4</v>
      </c>
      <c r="J78">
        <v>8500</v>
      </c>
      <c r="K78">
        <v>0</v>
      </c>
      <c r="L78" t="s">
        <v>23</v>
      </c>
      <c r="M78" t="s">
        <v>112</v>
      </c>
      <c r="N78">
        <v>34000</v>
      </c>
      <c r="O78">
        <v>0</v>
      </c>
      <c r="P78">
        <v>34000</v>
      </c>
      <c r="Q78">
        <f t="shared" si="3"/>
        <v>2025</v>
      </c>
      <c r="R78">
        <f t="shared" si="4"/>
        <v>2</v>
      </c>
      <c r="S78" t="str">
        <f t="shared" si="5"/>
        <v>February</v>
      </c>
    </row>
    <row r="79" spans="1:19">
      <c r="A79" t="s">
        <v>226</v>
      </c>
      <c r="B79" s="2">
        <v>45716</v>
      </c>
      <c r="C79" t="s">
        <v>227</v>
      </c>
      <c r="D79" t="s">
        <v>228</v>
      </c>
      <c r="E79" t="s">
        <v>37</v>
      </c>
      <c r="F79" t="s">
        <v>196</v>
      </c>
      <c r="G79" t="s">
        <v>21</v>
      </c>
      <c r="H79" t="s">
        <v>83</v>
      </c>
      <c r="I79">
        <v>4</v>
      </c>
      <c r="J79">
        <v>2500</v>
      </c>
      <c r="K79">
        <v>0.1</v>
      </c>
      <c r="L79" t="s">
        <v>32</v>
      </c>
      <c r="M79" t="s">
        <v>45</v>
      </c>
      <c r="N79">
        <v>10000</v>
      </c>
      <c r="O79">
        <v>1000</v>
      </c>
      <c r="P79">
        <v>9000</v>
      </c>
      <c r="Q79">
        <f t="shared" si="3"/>
        <v>2025</v>
      </c>
      <c r="R79">
        <f t="shared" si="4"/>
        <v>2</v>
      </c>
      <c r="S79" t="str">
        <f t="shared" si="5"/>
        <v>February</v>
      </c>
    </row>
    <row r="80" spans="1:19">
      <c r="A80" t="s">
        <v>229</v>
      </c>
      <c r="B80" s="2">
        <v>45717</v>
      </c>
      <c r="C80" t="s">
        <v>88</v>
      </c>
      <c r="D80" t="s">
        <v>115</v>
      </c>
      <c r="E80" t="s">
        <v>55</v>
      </c>
      <c r="F80" t="s">
        <v>154</v>
      </c>
      <c r="G80" t="s">
        <v>21</v>
      </c>
      <c r="H80" t="s">
        <v>181</v>
      </c>
      <c r="I80">
        <v>1</v>
      </c>
      <c r="J80">
        <v>9500</v>
      </c>
      <c r="K80">
        <v>0.1</v>
      </c>
      <c r="L80" t="s">
        <v>23</v>
      </c>
      <c r="M80" t="s">
        <v>24</v>
      </c>
      <c r="N80">
        <v>9500</v>
      </c>
      <c r="O80">
        <v>950</v>
      </c>
      <c r="P80">
        <v>8550</v>
      </c>
      <c r="Q80">
        <f t="shared" si="3"/>
        <v>2025</v>
      </c>
      <c r="R80">
        <f t="shared" si="4"/>
        <v>3</v>
      </c>
      <c r="S80" t="str">
        <f t="shared" si="5"/>
        <v>March</v>
      </c>
    </row>
    <row r="81" spans="1:19">
      <c r="A81" t="s">
        <v>230</v>
      </c>
      <c r="B81" s="2">
        <v>45717</v>
      </c>
      <c r="C81" t="s">
        <v>227</v>
      </c>
      <c r="D81" t="s">
        <v>27</v>
      </c>
      <c r="E81" t="s">
        <v>62</v>
      </c>
      <c r="F81" t="s">
        <v>63</v>
      </c>
      <c r="G81" t="s">
        <v>21</v>
      </c>
      <c r="H81" t="s">
        <v>181</v>
      </c>
      <c r="I81">
        <v>1</v>
      </c>
      <c r="J81">
        <v>180</v>
      </c>
      <c r="K81">
        <v>0.1</v>
      </c>
      <c r="L81" t="s">
        <v>44</v>
      </c>
      <c r="M81" t="s">
        <v>91</v>
      </c>
      <c r="N81">
        <v>180</v>
      </c>
      <c r="O81">
        <v>18</v>
      </c>
      <c r="P81">
        <v>162</v>
      </c>
      <c r="Q81">
        <f t="shared" si="3"/>
        <v>2025</v>
      </c>
      <c r="R81">
        <f t="shared" si="4"/>
        <v>3</v>
      </c>
      <c r="S81" t="str">
        <f t="shared" si="5"/>
        <v>March</v>
      </c>
    </row>
    <row r="82" spans="1:19">
      <c r="A82" t="s">
        <v>231</v>
      </c>
      <c r="B82" s="2">
        <v>45719</v>
      </c>
      <c r="C82" t="s">
        <v>232</v>
      </c>
      <c r="D82" t="s">
        <v>102</v>
      </c>
      <c r="E82" t="s">
        <v>28</v>
      </c>
      <c r="F82" t="s">
        <v>233</v>
      </c>
      <c r="G82" t="s">
        <v>57</v>
      </c>
      <c r="H82" t="s">
        <v>75</v>
      </c>
      <c r="I82">
        <v>5</v>
      </c>
      <c r="J82">
        <v>2800</v>
      </c>
      <c r="K82">
        <v>0.05</v>
      </c>
      <c r="L82" t="s">
        <v>44</v>
      </c>
      <c r="M82" t="s">
        <v>91</v>
      </c>
      <c r="N82">
        <v>14000</v>
      </c>
      <c r="O82">
        <v>700</v>
      </c>
      <c r="P82">
        <v>13300</v>
      </c>
      <c r="Q82">
        <f t="shared" si="3"/>
        <v>2025</v>
      </c>
      <c r="R82">
        <f t="shared" si="4"/>
        <v>3</v>
      </c>
      <c r="S82" t="str">
        <f t="shared" si="5"/>
        <v>March</v>
      </c>
    </row>
    <row r="83" spans="1:19">
      <c r="A83" t="s">
        <v>234</v>
      </c>
      <c r="B83" s="2">
        <v>45719</v>
      </c>
      <c r="C83" t="s">
        <v>156</v>
      </c>
      <c r="D83" t="s">
        <v>86</v>
      </c>
      <c r="E83" t="s">
        <v>37</v>
      </c>
      <c r="F83" t="s">
        <v>166</v>
      </c>
      <c r="G83" t="s">
        <v>57</v>
      </c>
      <c r="H83" t="s">
        <v>97</v>
      </c>
      <c r="I83">
        <v>2</v>
      </c>
      <c r="J83">
        <v>15000</v>
      </c>
      <c r="K83">
        <v>0.15</v>
      </c>
      <c r="L83" t="s">
        <v>50</v>
      </c>
      <c r="M83" t="s">
        <v>24</v>
      </c>
      <c r="N83">
        <v>30000</v>
      </c>
      <c r="O83">
        <v>4500</v>
      </c>
      <c r="P83">
        <v>25500</v>
      </c>
      <c r="Q83">
        <f t="shared" si="3"/>
        <v>2025</v>
      </c>
      <c r="R83">
        <f t="shared" si="4"/>
        <v>3</v>
      </c>
      <c r="S83" t="str">
        <f t="shared" si="5"/>
        <v>March</v>
      </c>
    </row>
    <row r="84" spans="1:19">
      <c r="A84" t="s">
        <v>235</v>
      </c>
      <c r="B84" s="2">
        <v>45721</v>
      </c>
      <c r="C84" t="s">
        <v>117</v>
      </c>
      <c r="D84" t="s">
        <v>61</v>
      </c>
      <c r="E84" t="s">
        <v>28</v>
      </c>
      <c r="F84" t="s">
        <v>233</v>
      </c>
      <c r="G84" t="s">
        <v>57</v>
      </c>
      <c r="H84" t="s">
        <v>75</v>
      </c>
      <c r="I84">
        <v>4</v>
      </c>
      <c r="J84">
        <v>2800</v>
      </c>
      <c r="K84">
        <v>0.05</v>
      </c>
      <c r="L84" t="s">
        <v>23</v>
      </c>
      <c r="M84" t="s">
        <v>51</v>
      </c>
      <c r="N84">
        <v>11200</v>
      </c>
      <c r="O84">
        <v>560</v>
      </c>
      <c r="P84">
        <v>10640</v>
      </c>
      <c r="Q84">
        <f t="shared" si="3"/>
        <v>2025</v>
      </c>
      <c r="R84">
        <f t="shared" si="4"/>
        <v>3</v>
      </c>
      <c r="S84" t="str">
        <f t="shared" si="5"/>
        <v>March</v>
      </c>
    </row>
    <row r="85" spans="1:19">
      <c r="A85" t="s">
        <v>236</v>
      </c>
      <c r="B85" s="2">
        <v>45722</v>
      </c>
      <c r="C85" t="s">
        <v>203</v>
      </c>
      <c r="D85" t="s">
        <v>89</v>
      </c>
      <c r="E85" t="s">
        <v>55</v>
      </c>
      <c r="F85" t="s">
        <v>213</v>
      </c>
      <c r="G85" t="s">
        <v>21</v>
      </c>
      <c r="H85" t="s">
        <v>181</v>
      </c>
      <c r="I85">
        <v>4</v>
      </c>
      <c r="J85">
        <v>8500</v>
      </c>
      <c r="K85">
        <v>0.1</v>
      </c>
      <c r="L85" t="s">
        <v>50</v>
      </c>
      <c r="M85" t="s">
        <v>33</v>
      </c>
      <c r="N85">
        <v>34000</v>
      </c>
      <c r="O85">
        <v>3400</v>
      </c>
      <c r="P85">
        <v>30600</v>
      </c>
      <c r="Q85">
        <f t="shared" si="3"/>
        <v>2025</v>
      </c>
      <c r="R85">
        <f t="shared" si="4"/>
        <v>3</v>
      </c>
      <c r="S85" t="str">
        <f t="shared" si="5"/>
        <v>March</v>
      </c>
    </row>
    <row r="86" spans="1:19">
      <c r="A86" t="s">
        <v>237</v>
      </c>
      <c r="B86" s="2">
        <v>45722</v>
      </c>
      <c r="C86" t="s">
        <v>238</v>
      </c>
      <c r="D86" t="s">
        <v>42</v>
      </c>
      <c r="E86" t="s">
        <v>28</v>
      </c>
      <c r="F86" t="s">
        <v>82</v>
      </c>
      <c r="G86" t="s">
        <v>71</v>
      </c>
      <c r="H86" t="s">
        <v>72</v>
      </c>
      <c r="I86">
        <v>3</v>
      </c>
      <c r="J86">
        <v>3500</v>
      </c>
      <c r="K86">
        <v>0.05</v>
      </c>
      <c r="L86" t="s">
        <v>32</v>
      </c>
      <c r="M86" t="s">
        <v>107</v>
      </c>
      <c r="N86">
        <v>10500</v>
      </c>
      <c r="O86">
        <v>525</v>
      </c>
      <c r="P86">
        <v>9975</v>
      </c>
      <c r="Q86">
        <f t="shared" si="3"/>
        <v>2025</v>
      </c>
      <c r="R86">
        <f t="shared" si="4"/>
        <v>3</v>
      </c>
      <c r="S86" t="str">
        <f t="shared" si="5"/>
        <v>March</v>
      </c>
    </row>
    <row r="87" spans="1:19">
      <c r="A87" t="s">
        <v>239</v>
      </c>
      <c r="B87" s="2">
        <v>45723</v>
      </c>
      <c r="C87" t="s">
        <v>240</v>
      </c>
      <c r="D87" t="s">
        <v>61</v>
      </c>
      <c r="E87" t="s">
        <v>28</v>
      </c>
      <c r="F87" t="s">
        <v>148</v>
      </c>
      <c r="G87" t="s">
        <v>30</v>
      </c>
      <c r="H87" t="s">
        <v>125</v>
      </c>
      <c r="I87">
        <v>1</v>
      </c>
      <c r="J87">
        <v>1800</v>
      </c>
      <c r="K87">
        <v>0.15</v>
      </c>
      <c r="L87" t="s">
        <v>32</v>
      </c>
      <c r="M87" t="s">
        <v>107</v>
      </c>
      <c r="N87">
        <v>1800</v>
      </c>
      <c r="O87">
        <v>270</v>
      </c>
      <c r="P87">
        <v>1530</v>
      </c>
      <c r="Q87">
        <f t="shared" si="3"/>
        <v>2025</v>
      </c>
      <c r="R87">
        <f t="shared" si="4"/>
        <v>3</v>
      </c>
      <c r="S87" t="str">
        <f t="shared" si="5"/>
        <v>March</v>
      </c>
    </row>
    <row r="88" spans="1:19">
      <c r="A88" t="s">
        <v>241</v>
      </c>
      <c r="B88" s="2">
        <v>45724</v>
      </c>
      <c r="C88" t="s">
        <v>165</v>
      </c>
      <c r="D88" t="s">
        <v>27</v>
      </c>
      <c r="E88" t="s">
        <v>37</v>
      </c>
      <c r="F88" t="s">
        <v>166</v>
      </c>
      <c r="G88" t="s">
        <v>71</v>
      </c>
      <c r="H88" t="s">
        <v>187</v>
      </c>
      <c r="I88">
        <v>1</v>
      </c>
      <c r="J88">
        <v>15000</v>
      </c>
      <c r="K88">
        <v>0.1</v>
      </c>
      <c r="L88" t="s">
        <v>23</v>
      </c>
      <c r="M88" t="s">
        <v>107</v>
      </c>
      <c r="N88">
        <v>15000</v>
      </c>
      <c r="O88">
        <v>1500</v>
      </c>
      <c r="P88">
        <v>13500</v>
      </c>
      <c r="Q88">
        <f t="shared" si="3"/>
        <v>2025</v>
      </c>
      <c r="R88">
        <f t="shared" si="4"/>
        <v>3</v>
      </c>
      <c r="S88" t="str">
        <f t="shared" si="5"/>
        <v>March</v>
      </c>
    </row>
    <row r="89" spans="1:19">
      <c r="A89" t="s">
        <v>242</v>
      </c>
      <c r="B89" s="2">
        <v>45725</v>
      </c>
      <c r="C89" t="s">
        <v>232</v>
      </c>
      <c r="D89" t="s">
        <v>86</v>
      </c>
      <c r="E89" t="s">
        <v>55</v>
      </c>
      <c r="F89" t="s">
        <v>150</v>
      </c>
      <c r="G89" t="s">
        <v>21</v>
      </c>
      <c r="H89" t="s">
        <v>22</v>
      </c>
      <c r="I89">
        <v>5</v>
      </c>
      <c r="J89">
        <v>4500</v>
      </c>
      <c r="K89">
        <v>0</v>
      </c>
      <c r="L89" t="s">
        <v>23</v>
      </c>
      <c r="M89" t="s">
        <v>39</v>
      </c>
      <c r="N89">
        <v>22500</v>
      </c>
      <c r="O89">
        <v>0</v>
      </c>
      <c r="P89">
        <v>22500</v>
      </c>
      <c r="Q89">
        <f t="shared" si="3"/>
        <v>2025</v>
      </c>
      <c r="R89">
        <f t="shared" si="4"/>
        <v>3</v>
      </c>
      <c r="S89" t="str">
        <f t="shared" si="5"/>
        <v>March</v>
      </c>
    </row>
    <row r="90" spans="1:19">
      <c r="A90" t="s">
        <v>243</v>
      </c>
      <c r="B90" s="2">
        <v>45725</v>
      </c>
      <c r="C90" t="s">
        <v>232</v>
      </c>
      <c r="D90" t="s">
        <v>36</v>
      </c>
      <c r="E90" t="s">
        <v>37</v>
      </c>
      <c r="F90" t="s">
        <v>43</v>
      </c>
      <c r="G90" t="s">
        <v>57</v>
      </c>
      <c r="H90" t="s">
        <v>142</v>
      </c>
      <c r="I90">
        <v>5</v>
      </c>
      <c r="J90">
        <v>1800</v>
      </c>
      <c r="K90">
        <v>0.1</v>
      </c>
      <c r="L90" t="s">
        <v>50</v>
      </c>
      <c r="M90" t="s">
        <v>51</v>
      </c>
      <c r="N90">
        <v>9000</v>
      </c>
      <c r="O90">
        <v>900</v>
      </c>
      <c r="P90">
        <v>8100</v>
      </c>
      <c r="Q90">
        <f t="shared" si="3"/>
        <v>2025</v>
      </c>
      <c r="R90">
        <f t="shared" si="4"/>
        <v>3</v>
      </c>
      <c r="S90" t="str">
        <f t="shared" si="5"/>
        <v>March</v>
      </c>
    </row>
    <row r="91" spans="1:19">
      <c r="A91" t="s">
        <v>244</v>
      </c>
      <c r="B91" s="2">
        <v>45726</v>
      </c>
      <c r="C91" t="s">
        <v>245</v>
      </c>
      <c r="D91" t="s">
        <v>127</v>
      </c>
      <c r="E91" t="s">
        <v>37</v>
      </c>
      <c r="F91" t="s">
        <v>43</v>
      </c>
      <c r="G91" t="s">
        <v>71</v>
      </c>
      <c r="H91" t="s">
        <v>72</v>
      </c>
      <c r="I91">
        <v>1</v>
      </c>
      <c r="J91">
        <v>1800</v>
      </c>
      <c r="K91">
        <v>0</v>
      </c>
      <c r="L91" t="s">
        <v>44</v>
      </c>
      <c r="M91" t="s">
        <v>39</v>
      </c>
      <c r="N91">
        <v>1800</v>
      </c>
      <c r="O91">
        <v>0</v>
      </c>
      <c r="P91">
        <v>1800</v>
      </c>
      <c r="Q91">
        <f t="shared" si="3"/>
        <v>2025</v>
      </c>
      <c r="R91">
        <f t="shared" si="4"/>
        <v>3</v>
      </c>
      <c r="S91" t="str">
        <f t="shared" si="5"/>
        <v>March</v>
      </c>
    </row>
    <row r="92" spans="1:19">
      <c r="A92" t="s">
        <v>246</v>
      </c>
      <c r="B92" s="2">
        <v>45728</v>
      </c>
      <c r="C92" t="s">
        <v>247</v>
      </c>
      <c r="D92" t="s">
        <v>228</v>
      </c>
      <c r="E92" t="s">
        <v>55</v>
      </c>
      <c r="F92" t="s">
        <v>154</v>
      </c>
      <c r="G92" t="s">
        <v>30</v>
      </c>
      <c r="H92" t="s">
        <v>125</v>
      </c>
      <c r="I92">
        <v>4</v>
      </c>
      <c r="J92">
        <v>9500</v>
      </c>
      <c r="K92">
        <v>0.1</v>
      </c>
      <c r="L92" t="s">
        <v>50</v>
      </c>
      <c r="M92" t="s">
        <v>51</v>
      </c>
      <c r="N92">
        <v>38000</v>
      </c>
      <c r="O92">
        <v>3800</v>
      </c>
      <c r="P92">
        <v>34200</v>
      </c>
      <c r="Q92">
        <f t="shared" si="3"/>
        <v>2025</v>
      </c>
      <c r="R92">
        <f t="shared" si="4"/>
        <v>3</v>
      </c>
      <c r="S92" t="str">
        <f t="shared" si="5"/>
        <v>March</v>
      </c>
    </row>
    <row r="93" spans="1:19">
      <c r="A93" t="s">
        <v>248</v>
      </c>
      <c r="B93" s="2">
        <v>45729</v>
      </c>
      <c r="C93" t="s">
        <v>200</v>
      </c>
      <c r="D93" t="s">
        <v>106</v>
      </c>
      <c r="E93" t="s">
        <v>19</v>
      </c>
      <c r="F93" t="s">
        <v>124</v>
      </c>
      <c r="G93" t="s">
        <v>21</v>
      </c>
      <c r="H93" t="s">
        <v>83</v>
      </c>
      <c r="I93">
        <v>4</v>
      </c>
      <c r="J93">
        <v>7000</v>
      </c>
      <c r="K93">
        <v>0.1</v>
      </c>
      <c r="L93" t="s">
        <v>32</v>
      </c>
      <c r="M93" t="s">
        <v>45</v>
      </c>
      <c r="N93">
        <v>28000</v>
      </c>
      <c r="O93">
        <v>2800</v>
      </c>
      <c r="P93">
        <v>25200</v>
      </c>
      <c r="Q93">
        <f t="shared" si="3"/>
        <v>2025</v>
      </c>
      <c r="R93">
        <f t="shared" si="4"/>
        <v>3</v>
      </c>
      <c r="S93" t="str">
        <f t="shared" si="5"/>
        <v>March</v>
      </c>
    </row>
    <row r="94" spans="1:19">
      <c r="A94" t="s">
        <v>249</v>
      </c>
      <c r="B94" s="2">
        <v>45729</v>
      </c>
      <c r="C94" t="s">
        <v>114</v>
      </c>
      <c r="D94" t="s">
        <v>69</v>
      </c>
      <c r="E94" t="s">
        <v>28</v>
      </c>
      <c r="F94" t="s">
        <v>29</v>
      </c>
      <c r="G94" t="s">
        <v>57</v>
      </c>
      <c r="H94" t="s">
        <v>97</v>
      </c>
      <c r="I94">
        <v>4</v>
      </c>
      <c r="J94">
        <v>4000</v>
      </c>
      <c r="K94">
        <v>0.05</v>
      </c>
      <c r="L94" t="s">
        <v>32</v>
      </c>
      <c r="M94" t="s">
        <v>112</v>
      </c>
      <c r="N94">
        <v>16000</v>
      </c>
      <c r="O94">
        <v>800</v>
      </c>
      <c r="P94">
        <v>15200</v>
      </c>
      <c r="Q94">
        <f t="shared" si="3"/>
        <v>2025</v>
      </c>
      <c r="R94">
        <f t="shared" si="4"/>
        <v>3</v>
      </c>
      <c r="S94" t="str">
        <f t="shared" si="5"/>
        <v>March</v>
      </c>
    </row>
    <row r="95" spans="1:19">
      <c r="A95" t="s">
        <v>250</v>
      </c>
      <c r="B95" s="2">
        <v>45729</v>
      </c>
      <c r="C95" t="s">
        <v>96</v>
      </c>
      <c r="D95" t="s">
        <v>18</v>
      </c>
      <c r="E95" t="s">
        <v>28</v>
      </c>
      <c r="F95" t="s">
        <v>148</v>
      </c>
      <c r="G95" t="s">
        <v>71</v>
      </c>
      <c r="H95" t="s">
        <v>128</v>
      </c>
      <c r="I95">
        <v>4</v>
      </c>
      <c r="J95">
        <v>1800</v>
      </c>
      <c r="K95">
        <v>0.15</v>
      </c>
      <c r="L95" t="s">
        <v>23</v>
      </c>
      <c r="M95" t="s">
        <v>45</v>
      </c>
      <c r="N95">
        <v>7200</v>
      </c>
      <c r="O95">
        <v>1080</v>
      </c>
      <c r="P95">
        <v>6120</v>
      </c>
      <c r="Q95">
        <f t="shared" si="3"/>
        <v>2025</v>
      </c>
      <c r="R95">
        <f t="shared" si="4"/>
        <v>3</v>
      </c>
      <c r="S95" t="str">
        <f t="shared" si="5"/>
        <v>March</v>
      </c>
    </row>
    <row r="96" spans="1:19">
      <c r="A96" t="s">
        <v>251</v>
      </c>
      <c r="B96" s="2">
        <v>45729</v>
      </c>
      <c r="C96" t="s">
        <v>252</v>
      </c>
      <c r="D96" t="s">
        <v>18</v>
      </c>
      <c r="E96" t="s">
        <v>37</v>
      </c>
      <c r="F96" t="s">
        <v>196</v>
      </c>
      <c r="G96" t="s">
        <v>30</v>
      </c>
      <c r="H96" t="s">
        <v>103</v>
      </c>
      <c r="I96">
        <v>4</v>
      </c>
      <c r="J96">
        <v>2500</v>
      </c>
      <c r="K96">
        <v>0.1</v>
      </c>
      <c r="L96" t="s">
        <v>23</v>
      </c>
      <c r="M96" t="s">
        <v>33</v>
      </c>
      <c r="N96">
        <v>10000</v>
      </c>
      <c r="O96">
        <v>1000</v>
      </c>
      <c r="P96">
        <v>9000</v>
      </c>
      <c r="Q96">
        <f t="shared" si="3"/>
        <v>2025</v>
      </c>
      <c r="R96">
        <f t="shared" si="4"/>
        <v>3</v>
      </c>
      <c r="S96" t="str">
        <f t="shared" si="5"/>
        <v>March</v>
      </c>
    </row>
    <row r="97" spans="1:19">
      <c r="A97" t="s">
        <v>253</v>
      </c>
      <c r="B97" s="2">
        <v>45730</v>
      </c>
      <c r="C97" t="s">
        <v>200</v>
      </c>
      <c r="D97" t="s">
        <v>120</v>
      </c>
      <c r="E97" t="s">
        <v>55</v>
      </c>
      <c r="F97" t="s">
        <v>150</v>
      </c>
      <c r="G97" t="s">
        <v>21</v>
      </c>
      <c r="H97" t="s">
        <v>83</v>
      </c>
      <c r="I97">
        <v>4</v>
      </c>
      <c r="J97">
        <v>4500</v>
      </c>
      <c r="K97">
        <v>0.05</v>
      </c>
      <c r="L97" t="s">
        <v>23</v>
      </c>
      <c r="M97" t="s">
        <v>51</v>
      </c>
      <c r="N97">
        <v>18000</v>
      </c>
      <c r="O97">
        <v>900</v>
      </c>
      <c r="P97">
        <v>17100</v>
      </c>
      <c r="Q97">
        <f t="shared" si="3"/>
        <v>2025</v>
      </c>
      <c r="R97">
        <f t="shared" si="4"/>
        <v>3</v>
      </c>
      <c r="S97" t="str">
        <f t="shared" si="5"/>
        <v>March</v>
      </c>
    </row>
    <row r="98" spans="1:19">
      <c r="A98" t="s">
        <v>254</v>
      </c>
      <c r="B98" s="2">
        <v>45731</v>
      </c>
      <c r="C98" t="s">
        <v>156</v>
      </c>
      <c r="D98" t="s">
        <v>89</v>
      </c>
      <c r="E98" t="s">
        <v>37</v>
      </c>
      <c r="F98" t="s">
        <v>38</v>
      </c>
      <c r="G98" t="s">
        <v>71</v>
      </c>
      <c r="H98" t="s">
        <v>72</v>
      </c>
      <c r="I98">
        <v>2</v>
      </c>
      <c r="J98">
        <v>55000</v>
      </c>
      <c r="K98">
        <v>0</v>
      </c>
      <c r="L98" t="s">
        <v>50</v>
      </c>
      <c r="M98" t="s">
        <v>107</v>
      </c>
      <c r="N98">
        <v>110000</v>
      </c>
      <c r="O98">
        <v>0</v>
      </c>
      <c r="P98">
        <v>110000</v>
      </c>
      <c r="Q98">
        <f t="shared" si="3"/>
        <v>2025</v>
      </c>
      <c r="R98">
        <f t="shared" si="4"/>
        <v>3</v>
      </c>
      <c r="S98" t="str">
        <f t="shared" si="5"/>
        <v>March</v>
      </c>
    </row>
    <row r="99" spans="1:19">
      <c r="A99" t="s">
        <v>255</v>
      </c>
      <c r="B99" s="2">
        <v>45732</v>
      </c>
      <c r="C99" t="s">
        <v>252</v>
      </c>
      <c r="D99" t="s">
        <v>54</v>
      </c>
      <c r="E99" t="s">
        <v>55</v>
      </c>
      <c r="F99" t="s">
        <v>154</v>
      </c>
      <c r="G99" t="s">
        <v>21</v>
      </c>
      <c r="H99" t="s">
        <v>22</v>
      </c>
      <c r="I99">
        <v>1</v>
      </c>
      <c r="J99">
        <v>9500</v>
      </c>
      <c r="K99">
        <v>0.05</v>
      </c>
      <c r="L99" t="s">
        <v>44</v>
      </c>
      <c r="M99" t="s">
        <v>39</v>
      </c>
      <c r="N99">
        <v>9500</v>
      </c>
      <c r="O99">
        <v>475</v>
      </c>
      <c r="P99">
        <v>9025</v>
      </c>
      <c r="Q99">
        <f t="shared" si="3"/>
        <v>2025</v>
      </c>
      <c r="R99">
        <f t="shared" si="4"/>
        <v>3</v>
      </c>
      <c r="S99" t="str">
        <f t="shared" si="5"/>
        <v>March</v>
      </c>
    </row>
    <row r="100" spans="1:19">
      <c r="A100" t="s">
        <v>256</v>
      </c>
      <c r="B100" s="2">
        <v>45733</v>
      </c>
      <c r="C100" t="s">
        <v>257</v>
      </c>
      <c r="D100" t="s">
        <v>86</v>
      </c>
      <c r="E100" t="s">
        <v>62</v>
      </c>
      <c r="F100" t="s">
        <v>63</v>
      </c>
      <c r="G100" t="s">
        <v>21</v>
      </c>
      <c r="H100" t="s">
        <v>83</v>
      </c>
      <c r="I100">
        <v>3</v>
      </c>
      <c r="J100">
        <v>180</v>
      </c>
      <c r="K100">
        <v>0</v>
      </c>
      <c r="L100" t="s">
        <v>23</v>
      </c>
      <c r="M100" t="s">
        <v>24</v>
      </c>
      <c r="N100">
        <v>540</v>
      </c>
      <c r="O100">
        <v>0</v>
      </c>
      <c r="P100">
        <v>540</v>
      </c>
      <c r="Q100">
        <f t="shared" si="3"/>
        <v>2025</v>
      </c>
      <c r="R100">
        <f t="shared" si="4"/>
        <v>3</v>
      </c>
      <c r="S100" t="str">
        <f t="shared" si="5"/>
        <v>March</v>
      </c>
    </row>
    <row r="101" spans="1:19">
      <c r="A101" t="s">
        <v>258</v>
      </c>
      <c r="B101" s="2">
        <v>45734</v>
      </c>
      <c r="C101" t="s">
        <v>177</v>
      </c>
      <c r="D101" t="s">
        <v>89</v>
      </c>
      <c r="E101" t="s">
        <v>28</v>
      </c>
      <c r="F101" t="s">
        <v>66</v>
      </c>
      <c r="G101" t="s">
        <v>21</v>
      </c>
      <c r="H101" t="s">
        <v>185</v>
      </c>
      <c r="I101">
        <v>2</v>
      </c>
      <c r="J101">
        <v>900</v>
      </c>
      <c r="K101">
        <v>0.05</v>
      </c>
      <c r="L101" t="s">
        <v>50</v>
      </c>
      <c r="M101" t="s">
        <v>107</v>
      </c>
      <c r="N101">
        <v>1800</v>
      </c>
      <c r="O101">
        <v>90</v>
      </c>
      <c r="P101">
        <v>1710</v>
      </c>
      <c r="Q101">
        <f t="shared" si="3"/>
        <v>2025</v>
      </c>
      <c r="R101">
        <f t="shared" si="4"/>
        <v>3</v>
      </c>
      <c r="S101" t="str">
        <f t="shared" si="5"/>
        <v>March</v>
      </c>
    </row>
    <row r="102" spans="1:19">
      <c r="A102" t="s">
        <v>259</v>
      </c>
      <c r="B102" s="2">
        <v>45735</v>
      </c>
      <c r="C102" t="s">
        <v>260</v>
      </c>
      <c r="D102" t="s">
        <v>54</v>
      </c>
      <c r="E102" t="s">
        <v>55</v>
      </c>
      <c r="F102" t="s">
        <v>154</v>
      </c>
      <c r="G102" t="s">
        <v>30</v>
      </c>
      <c r="H102" t="s">
        <v>103</v>
      </c>
      <c r="I102">
        <v>5</v>
      </c>
      <c r="J102">
        <v>9500</v>
      </c>
      <c r="K102">
        <v>0</v>
      </c>
      <c r="L102" t="s">
        <v>32</v>
      </c>
      <c r="M102" t="s">
        <v>33</v>
      </c>
      <c r="N102">
        <v>47500</v>
      </c>
      <c r="O102">
        <v>0</v>
      </c>
      <c r="P102">
        <v>47500</v>
      </c>
      <c r="Q102">
        <f t="shared" si="3"/>
        <v>2025</v>
      </c>
      <c r="R102">
        <f t="shared" si="4"/>
        <v>3</v>
      </c>
      <c r="S102" t="str">
        <f t="shared" si="5"/>
        <v>March</v>
      </c>
    </row>
    <row r="103" spans="1:19">
      <c r="A103" t="s">
        <v>261</v>
      </c>
      <c r="B103" s="2">
        <v>45738</v>
      </c>
      <c r="C103" t="s">
        <v>262</v>
      </c>
      <c r="D103" t="s">
        <v>81</v>
      </c>
      <c r="E103" t="s">
        <v>55</v>
      </c>
      <c r="F103" t="s">
        <v>150</v>
      </c>
      <c r="G103" t="s">
        <v>30</v>
      </c>
      <c r="H103" t="s">
        <v>125</v>
      </c>
      <c r="I103">
        <v>1</v>
      </c>
      <c r="J103">
        <v>4500</v>
      </c>
      <c r="K103">
        <v>0</v>
      </c>
      <c r="L103" t="s">
        <v>23</v>
      </c>
      <c r="M103" t="s">
        <v>107</v>
      </c>
      <c r="N103">
        <v>4500</v>
      </c>
      <c r="O103">
        <v>0</v>
      </c>
      <c r="P103">
        <v>4500</v>
      </c>
      <c r="Q103">
        <f t="shared" si="3"/>
        <v>2025</v>
      </c>
      <c r="R103">
        <f t="shared" si="4"/>
        <v>3</v>
      </c>
      <c r="S103" t="str">
        <f t="shared" si="5"/>
        <v>March</v>
      </c>
    </row>
    <row r="104" spans="1:19">
      <c r="A104" t="s">
        <v>263</v>
      </c>
      <c r="B104" s="2">
        <v>45739</v>
      </c>
      <c r="C104" t="s">
        <v>264</v>
      </c>
      <c r="D104" t="s">
        <v>86</v>
      </c>
      <c r="E104" t="s">
        <v>28</v>
      </c>
      <c r="F104" t="s">
        <v>233</v>
      </c>
      <c r="G104" t="s">
        <v>30</v>
      </c>
      <c r="H104" t="s">
        <v>31</v>
      </c>
      <c r="I104">
        <v>3</v>
      </c>
      <c r="J104">
        <v>2800</v>
      </c>
      <c r="K104">
        <v>0.1</v>
      </c>
      <c r="L104" t="s">
        <v>32</v>
      </c>
      <c r="M104" t="s">
        <v>91</v>
      </c>
      <c r="N104">
        <v>8400</v>
      </c>
      <c r="O104">
        <v>840</v>
      </c>
      <c r="P104">
        <v>7560</v>
      </c>
      <c r="Q104">
        <f t="shared" si="3"/>
        <v>2025</v>
      </c>
      <c r="R104">
        <f t="shared" si="4"/>
        <v>3</v>
      </c>
      <c r="S104" t="str">
        <f t="shared" si="5"/>
        <v>March</v>
      </c>
    </row>
    <row r="105" spans="1:19">
      <c r="A105" t="s">
        <v>265</v>
      </c>
      <c r="B105" s="2">
        <v>45740</v>
      </c>
      <c r="C105" t="s">
        <v>47</v>
      </c>
      <c r="D105" t="s">
        <v>81</v>
      </c>
      <c r="E105" t="s">
        <v>28</v>
      </c>
      <c r="F105" t="s">
        <v>233</v>
      </c>
      <c r="G105" t="s">
        <v>30</v>
      </c>
      <c r="H105" t="s">
        <v>49</v>
      </c>
      <c r="I105">
        <v>2</v>
      </c>
      <c r="J105">
        <v>2800</v>
      </c>
      <c r="K105">
        <v>0</v>
      </c>
      <c r="L105" t="s">
        <v>23</v>
      </c>
      <c r="M105" t="s">
        <v>112</v>
      </c>
      <c r="N105">
        <v>5600</v>
      </c>
      <c r="O105">
        <v>0</v>
      </c>
      <c r="P105">
        <v>5600</v>
      </c>
      <c r="Q105">
        <f t="shared" si="3"/>
        <v>2025</v>
      </c>
      <c r="R105">
        <f t="shared" si="4"/>
        <v>3</v>
      </c>
      <c r="S105" t="str">
        <f t="shared" si="5"/>
        <v>March</v>
      </c>
    </row>
    <row r="106" spans="1:19">
      <c r="A106" t="s">
        <v>266</v>
      </c>
      <c r="B106" s="2">
        <v>45741</v>
      </c>
      <c r="C106" t="s">
        <v>267</v>
      </c>
      <c r="D106" t="s">
        <v>86</v>
      </c>
      <c r="E106" t="s">
        <v>37</v>
      </c>
      <c r="F106" t="s">
        <v>38</v>
      </c>
      <c r="G106" t="s">
        <v>57</v>
      </c>
      <c r="H106" t="s">
        <v>58</v>
      </c>
      <c r="I106">
        <v>2</v>
      </c>
      <c r="J106">
        <v>55000</v>
      </c>
      <c r="K106">
        <v>0.05</v>
      </c>
      <c r="L106" t="s">
        <v>50</v>
      </c>
      <c r="M106" t="s">
        <v>107</v>
      </c>
      <c r="N106">
        <v>110000</v>
      </c>
      <c r="O106">
        <v>5500</v>
      </c>
      <c r="P106">
        <v>104500</v>
      </c>
      <c r="Q106">
        <f t="shared" si="3"/>
        <v>2025</v>
      </c>
      <c r="R106">
        <f t="shared" si="4"/>
        <v>3</v>
      </c>
      <c r="S106" t="str">
        <f t="shared" si="5"/>
        <v>March</v>
      </c>
    </row>
    <row r="107" spans="1:19">
      <c r="A107" t="s">
        <v>268</v>
      </c>
      <c r="B107" s="2">
        <v>45742</v>
      </c>
      <c r="C107" t="s">
        <v>269</v>
      </c>
      <c r="D107" t="s">
        <v>228</v>
      </c>
      <c r="E107" t="s">
        <v>28</v>
      </c>
      <c r="F107" t="s">
        <v>233</v>
      </c>
      <c r="G107" t="s">
        <v>30</v>
      </c>
      <c r="H107" t="s">
        <v>31</v>
      </c>
      <c r="I107">
        <v>2</v>
      </c>
      <c r="J107">
        <v>2800</v>
      </c>
      <c r="K107">
        <v>0.05</v>
      </c>
      <c r="L107" t="s">
        <v>44</v>
      </c>
      <c r="M107" t="s">
        <v>112</v>
      </c>
      <c r="N107">
        <v>5600</v>
      </c>
      <c r="O107">
        <v>280</v>
      </c>
      <c r="P107">
        <v>5320</v>
      </c>
      <c r="Q107">
        <f t="shared" si="3"/>
        <v>2025</v>
      </c>
      <c r="R107">
        <f t="shared" si="4"/>
        <v>3</v>
      </c>
      <c r="S107" t="str">
        <f t="shared" si="5"/>
        <v>March</v>
      </c>
    </row>
    <row r="108" spans="1:19">
      <c r="A108" t="s">
        <v>270</v>
      </c>
      <c r="B108" s="2">
        <v>45743</v>
      </c>
      <c r="C108" t="s">
        <v>111</v>
      </c>
      <c r="D108" t="s">
        <v>36</v>
      </c>
      <c r="E108" t="s">
        <v>37</v>
      </c>
      <c r="F108" t="s">
        <v>136</v>
      </c>
      <c r="G108" t="s">
        <v>30</v>
      </c>
      <c r="H108" t="s">
        <v>49</v>
      </c>
      <c r="I108">
        <v>2</v>
      </c>
      <c r="J108">
        <v>25000</v>
      </c>
      <c r="K108">
        <v>0</v>
      </c>
      <c r="L108" t="s">
        <v>23</v>
      </c>
      <c r="M108" t="s">
        <v>33</v>
      </c>
      <c r="N108">
        <v>50000</v>
      </c>
      <c r="O108">
        <v>0</v>
      </c>
      <c r="P108">
        <v>50000</v>
      </c>
      <c r="Q108">
        <f t="shared" si="3"/>
        <v>2025</v>
      </c>
      <c r="R108">
        <f t="shared" si="4"/>
        <v>3</v>
      </c>
      <c r="S108" t="str">
        <f t="shared" si="5"/>
        <v>March</v>
      </c>
    </row>
    <row r="109" spans="1:19">
      <c r="A109" t="s">
        <v>271</v>
      </c>
      <c r="B109" s="2">
        <v>45743</v>
      </c>
      <c r="C109" t="s">
        <v>272</v>
      </c>
      <c r="D109" t="s">
        <v>42</v>
      </c>
      <c r="E109" t="s">
        <v>55</v>
      </c>
      <c r="F109" t="s">
        <v>145</v>
      </c>
      <c r="G109" t="s">
        <v>30</v>
      </c>
      <c r="H109" t="s">
        <v>125</v>
      </c>
      <c r="I109">
        <v>1</v>
      </c>
      <c r="J109">
        <v>1800</v>
      </c>
      <c r="K109">
        <v>0</v>
      </c>
      <c r="L109" t="s">
        <v>32</v>
      </c>
      <c r="M109" t="s">
        <v>45</v>
      </c>
      <c r="N109">
        <v>1800</v>
      </c>
      <c r="O109">
        <v>0</v>
      </c>
      <c r="P109">
        <v>1800</v>
      </c>
      <c r="Q109">
        <f t="shared" si="3"/>
        <v>2025</v>
      </c>
      <c r="R109">
        <f t="shared" si="4"/>
        <v>3</v>
      </c>
      <c r="S109" t="str">
        <f t="shared" si="5"/>
        <v>March</v>
      </c>
    </row>
    <row r="110" spans="1:19">
      <c r="A110" t="s">
        <v>273</v>
      </c>
      <c r="B110" s="2">
        <v>45743</v>
      </c>
      <c r="C110" t="s">
        <v>163</v>
      </c>
      <c r="D110" t="s">
        <v>228</v>
      </c>
      <c r="E110" t="s">
        <v>19</v>
      </c>
      <c r="F110" t="s">
        <v>124</v>
      </c>
      <c r="G110" t="s">
        <v>71</v>
      </c>
      <c r="H110" t="s">
        <v>72</v>
      </c>
      <c r="I110">
        <v>2</v>
      </c>
      <c r="J110">
        <v>7000</v>
      </c>
      <c r="K110">
        <v>0.1</v>
      </c>
      <c r="L110" t="s">
        <v>32</v>
      </c>
      <c r="M110" t="s">
        <v>91</v>
      </c>
      <c r="N110">
        <v>14000</v>
      </c>
      <c r="O110">
        <v>1400</v>
      </c>
      <c r="P110">
        <v>12600</v>
      </c>
      <c r="Q110">
        <f t="shared" si="3"/>
        <v>2025</v>
      </c>
      <c r="R110">
        <f t="shared" si="4"/>
        <v>3</v>
      </c>
      <c r="S110" t="str">
        <f t="shared" si="5"/>
        <v>March</v>
      </c>
    </row>
    <row r="111" spans="1:19">
      <c r="A111" t="s">
        <v>274</v>
      </c>
      <c r="B111" s="2">
        <v>45743</v>
      </c>
      <c r="C111" t="s">
        <v>275</v>
      </c>
      <c r="D111" t="s">
        <v>106</v>
      </c>
      <c r="E111" t="s">
        <v>37</v>
      </c>
      <c r="F111" t="s">
        <v>90</v>
      </c>
      <c r="G111" t="s">
        <v>21</v>
      </c>
      <c r="H111" t="s">
        <v>185</v>
      </c>
      <c r="I111">
        <v>1</v>
      </c>
      <c r="J111">
        <v>900</v>
      </c>
      <c r="K111">
        <v>0.1</v>
      </c>
      <c r="L111" t="s">
        <v>32</v>
      </c>
      <c r="M111" t="s">
        <v>112</v>
      </c>
      <c r="N111">
        <v>900</v>
      </c>
      <c r="O111">
        <v>90</v>
      </c>
      <c r="P111">
        <v>810</v>
      </c>
      <c r="Q111">
        <f t="shared" si="3"/>
        <v>2025</v>
      </c>
      <c r="R111">
        <f t="shared" si="4"/>
        <v>3</v>
      </c>
      <c r="S111" t="str">
        <f t="shared" si="5"/>
        <v>March</v>
      </c>
    </row>
    <row r="112" spans="1:19">
      <c r="A112" t="s">
        <v>276</v>
      </c>
      <c r="B112" s="2">
        <v>45743</v>
      </c>
      <c r="C112" t="s">
        <v>177</v>
      </c>
      <c r="D112" t="s">
        <v>102</v>
      </c>
      <c r="E112" t="s">
        <v>19</v>
      </c>
      <c r="F112" t="s">
        <v>70</v>
      </c>
      <c r="G112" t="s">
        <v>30</v>
      </c>
      <c r="H112" t="s">
        <v>49</v>
      </c>
      <c r="I112">
        <v>4</v>
      </c>
      <c r="J112">
        <v>6500</v>
      </c>
      <c r="K112">
        <v>0</v>
      </c>
      <c r="L112" t="s">
        <v>23</v>
      </c>
      <c r="M112" t="s">
        <v>24</v>
      </c>
      <c r="N112">
        <v>26000</v>
      </c>
      <c r="O112">
        <v>0</v>
      </c>
      <c r="P112">
        <v>26000</v>
      </c>
      <c r="Q112">
        <f t="shared" si="3"/>
        <v>2025</v>
      </c>
      <c r="R112">
        <f t="shared" si="4"/>
        <v>3</v>
      </c>
      <c r="S112" t="str">
        <f t="shared" si="5"/>
        <v>March</v>
      </c>
    </row>
    <row r="113" spans="1:19">
      <c r="A113" t="s">
        <v>277</v>
      </c>
      <c r="B113" s="2">
        <v>45744</v>
      </c>
      <c r="C113" t="s">
        <v>171</v>
      </c>
      <c r="D113" t="s">
        <v>106</v>
      </c>
      <c r="E113" t="s">
        <v>55</v>
      </c>
      <c r="F113" t="s">
        <v>150</v>
      </c>
      <c r="G113" t="s">
        <v>71</v>
      </c>
      <c r="H113" t="s">
        <v>128</v>
      </c>
      <c r="I113">
        <v>4</v>
      </c>
      <c r="J113">
        <v>4500</v>
      </c>
      <c r="K113">
        <v>0.15</v>
      </c>
      <c r="L113" t="s">
        <v>44</v>
      </c>
      <c r="M113" t="s">
        <v>24</v>
      </c>
      <c r="N113">
        <v>18000</v>
      </c>
      <c r="O113">
        <v>2700</v>
      </c>
      <c r="P113">
        <v>15300</v>
      </c>
      <c r="Q113">
        <f t="shared" si="3"/>
        <v>2025</v>
      </c>
      <c r="R113">
        <f t="shared" si="4"/>
        <v>3</v>
      </c>
      <c r="S113" t="str">
        <f t="shared" si="5"/>
        <v>March</v>
      </c>
    </row>
    <row r="114" spans="1:19">
      <c r="A114" t="s">
        <v>278</v>
      </c>
      <c r="B114" s="2">
        <v>45747</v>
      </c>
      <c r="C114" t="s">
        <v>257</v>
      </c>
      <c r="D114" t="s">
        <v>102</v>
      </c>
      <c r="E114" t="s">
        <v>37</v>
      </c>
      <c r="F114" t="s">
        <v>90</v>
      </c>
      <c r="G114" t="s">
        <v>21</v>
      </c>
      <c r="H114" t="s">
        <v>185</v>
      </c>
      <c r="I114">
        <v>2</v>
      </c>
      <c r="J114">
        <v>900</v>
      </c>
      <c r="K114">
        <v>0.15</v>
      </c>
      <c r="L114" t="s">
        <v>50</v>
      </c>
      <c r="M114" t="s">
        <v>91</v>
      </c>
      <c r="N114">
        <v>1800</v>
      </c>
      <c r="O114">
        <v>270</v>
      </c>
      <c r="P114">
        <v>1530</v>
      </c>
      <c r="Q114">
        <f t="shared" si="3"/>
        <v>2025</v>
      </c>
      <c r="R114">
        <f t="shared" si="4"/>
        <v>3</v>
      </c>
      <c r="S114" t="str">
        <f t="shared" si="5"/>
        <v>March</v>
      </c>
    </row>
    <row r="115" spans="1:19">
      <c r="A115" t="s">
        <v>279</v>
      </c>
      <c r="B115" s="2">
        <v>45747</v>
      </c>
      <c r="C115" t="s">
        <v>168</v>
      </c>
      <c r="D115" t="s">
        <v>61</v>
      </c>
      <c r="E115" t="s">
        <v>28</v>
      </c>
      <c r="F115" t="s">
        <v>233</v>
      </c>
      <c r="G115" t="s">
        <v>71</v>
      </c>
      <c r="H115" t="s">
        <v>72</v>
      </c>
      <c r="I115">
        <v>4</v>
      </c>
      <c r="J115">
        <v>2800</v>
      </c>
      <c r="K115">
        <v>0</v>
      </c>
      <c r="L115" t="s">
        <v>23</v>
      </c>
      <c r="M115" t="s">
        <v>39</v>
      </c>
      <c r="N115">
        <v>11200</v>
      </c>
      <c r="O115">
        <v>0</v>
      </c>
      <c r="P115">
        <v>11200</v>
      </c>
      <c r="Q115">
        <f t="shared" si="3"/>
        <v>2025</v>
      </c>
      <c r="R115">
        <f t="shared" si="4"/>
        <v>3</v>
      </c>
      <c r="S115" t="str">
        <f t="shared" si="5"/>
        <v>March</v>
      </c>
    </row>
    <row r="116" spans="1:19">
      <c r="A116" t="s">
        <v>280</v>
      </c>
      <c r="B116" s="2">
        <v>45750</v>
      </c>
      <c r="C116" t="s">
        <v>281</v>
      </c>
      <c r="D116" t="s">
        <v>86</v>
      </c>
      <c r="E116" t="s">
        <v>62</v>
      </c>
      <c r="F116" t="s">
        <v>169</v>
      </c>
      <c r="G116" t="s">
        <v>21</v>
      </c>
      <c r="H116" t="s">
        <v>185</v>
      </c>
      <c r="I116">
        <v>3</v>
      </c>
      <c r="J116">
        <v>1200</v>
      </c>
      <c r="K116">
        <v>0.1</v>
      </c>
      <c r="L116" t="s">
        <v>32</v>
      </c>
      <c r="M116" t="s">
        <v>107</v>
      </c>
      <c r="N116">
        <v>3600</v>
      </c>
      <c r="O116">
        <v>360</v>
      </c>
      <c r="P116">
        <v>3240</v>
      </c>
      <c r="Q116">
        <f t="shared" si="3"/>
        <v>2025</v>
      </c>
      <c r="R116">
        <f t="shared" si="4"/>
        <v>4</v>
      </c>
      <c r="S116" t="str">
        <f t="shared" si="5"/>
        <v>April</v>
      </c>
    </row>
    <row r="117" spans="1:19">
      <c r="A117" t="s">
        <v>282</v>
      </c>
      <c r="B117" s="2">
        <v>45750</v>
      </c>
      <c r="C117" t="s">
        <v>257</v>
      </c>
      <c r="D117" t="s">
        <v>69</v>
      </c>
      <c r="E117" t="s">
        <v>37</v>
      </c>
      <c r="F117" t="s">
        <v>43</v>
      </c>
      <c r="G117" t="s">
        <v>57</v>
      </c>
      <c r="H117" t="s">
        <v>142</v>
      </c>
      <c r="I117">
        <v>2</v>
      </c>
      <c r="J117">
        <v>1800</v>
      </c>
      <c r="K117">
        <v>0.1</v>
      </c>
      <c r="L117" t="s">
        <v>44</v>
      </c>
      <c r="M117" t="s">
        <v>51</v>
      </c>
      <c r="N117">
        <v>3600</v>
      </c>
      <c r="O117">
        <v>360</v>
      </c>
      <c r="P117">
        <v>3240</v>
      </c>
      <c r="Q117">
        <f t="shared" si="3"/>
        <v>2025</v>
      </c>
      <c r="R117">
        <f t="shared" si="4"/>
        <v>4</v>
      </c>
      <c r="S117" t="str">
        <f t="shared" si="5"/>
        <v>April</v>
      </c>
    </row>
    <row r="118" spans="1:19">
      <c r="A118" t="s">
        <v>283</v>
      </c>
      <c r="B118" s="2">
        <v>45750</v>
      </c>
      <c r="C118" t="s">
        <v>156</v>
      </c>
      <c r="D118" t="s">
        <v>123</v>
      </c>
      <c r="E118" t="s">
        <v>37</v>
      </c>
      <c r="F118" t="s">
        <v>43</v>
      </c>
      <c r="G118" t="s">
        <v>71</v>
      </c>
      <c r="H118" t="s">
        <v>72</v>
      </c>
      <c r="I118">
        <v>3</v>
      </c>
      <c r="J118">
        <v>1800</v>
      </c>
      <c r="K118">
        <v>0.1</v>
      </c>
      <c r="L118" t="s">
        <v>23</v>
      </c>
      <c r="M118" t="s">
        <v>24</v>
      </c>
      <c r="N118">
        <v>5400</v>
      </c>
      <c r="O118">
        <v>540</v>
      </c>
      <c r="P118">
        <v>4860</v>
      </c>
      <c r="Q118">
        <f t="shared" si="3"/>
        <v>2025</v>
      </c>
      <c r="R118">
        <f t="shared" si="4"/>
        <v>4</v>
      </c>
      <c r="S118" t="str">
        <f t="shared" si="5"/>
        <v>April</v>
      </c>
    </row>
    <row r="119" spans="1:19">
      <c r="A119" t="s">
        <v>284</v>
      </c>
      <c r="B119" s="2">
        <v>45750</v>
      </c>
      <c r="C119" t="s">
        <v>285</v>
      </c>
      <c r="D119" t="s">
        <v>36</v>
      </c>
      <c r="E119" t="s">
        <v>37</v>
      </c>
      <c r="F119" t="s">
        <v>166</v>
      </c>
      <c r="G119" t="s">
        <v>57</v>
      </c>
      <c r="H119" t="s">
        <v>97</v>
      </c>
      <c r="I119">
        <v>1</v>
      </c>
      <c r="J119">
        <v>15000</v>
      </c>
      <c r="K119">
        <v>0</v>
      </c>
      <c r="L119" t="s">
        <v>50</v>
      </c>
      <c r="M119" t="s">
        <v>51</v>
      </c>
      <c r="N119">
        <v>15000</v>
      </c>
      <c r="O119">
        <v>0</v>
      </c>
      <c r="P119">
        <v>15000</v>
      </c>
      <c r="Q119">
        <f t="shared" si="3"/>
        <v>2025</v>
      </c>
      <c r="R119">
        <f t="shared" si="4"/>
        <v>4</v>
      </c>
      <c r="S119" t="str">
        <f t="shared" si="5"/>
        <v>April</v>
      </c>
    </row>
    <row r="120" spans="1:19">
      <c r="A120" t="s">
        <v>286</v>
      </c>
      <c r="B120" s="2">
        <v>45750</v>
      </c>
      <c r="C120" t="s">
        <v>223</v>
      </c>
      <c r="D120" t="s">
        <v>42</v>
      </c>
      <c r="E120" t="s">
        <v>37</v>
      </c>
      <c r="F120" t="s">
        <v>43</v>
      </c>
      <c r="G120" t="s">
        <v>21</v>
      </c>
      <c r="H120" t="s">
        <v>83</v>
      </c>
      <c r="I120">
        <v>3</v>
      </c>
      <c r="J120">
        <v>1800</v>
      </c>
      <c r="K120">
        <v>0.05</v>
      </c>
      <c r="L120" t="s">
        <v>50</v>
      </c>
      <c r="M120" t="s">
        <v>51</v>
      </c>
      <c r="N120">
        <v>5400</v>
      </c>
      <c r="O120">
        <v>270</v>
      </c>
      <c r="P120">
        <v>5130</v>
      </c>
      <c r="Q120">
        <f t="shared" si="3"/>
        <v>2025</v>
      </c>
      <c r="R120">
        <f t="shared" si="4"/>
        <v>4</v>
      </c>
      <c r="S120" t="str">
        <f t="shared" si="5"/>
        <v>April</v>
      </c>
    </row>
    <row r="121" spans="1:19">
      <c r="A121" t="s">
        <v>287</v>
      </c>
      <c r="B121" s="2">
        <v>45751</v>
      </c>
      <c r="C121" t="s">
        <v>267</v>
      </c>
      <c r="D121" t="s">
        <v>74</v>
      </c>
      <c r="E121" t="s">
        <v>37</v>
      </c>
      <c r="F121" t="s">
        <v>196</v>
      </c>
      <c r="G121" t="s">
        <v>30</v>
      </c>
      <c r="H121" t="s">
        <v>103</v>
      </c>
      <c r="I121">
        <v>4</v>
      </c>
      <c r="J121">
        <v>2500</v>
      </c>
      <c r="K121">
        <v>0</v>
      </c>
      <c r="L121" t="s">
        <v>32</v>
      </c>
      <c r="M121" t="s">
        <v>51</v>
      </c>
      <c r="N121">
        <v>10000</v>
      </c>
      <c r="O121">
        <v>0</v>
      </c>
      <c r="P121">
        <v>10000</v>
      </c>
      <c r="Q121">
        <f t="shared" si="3"/>
        <v>2025</v>
      </c>
      <c r="R121">
        <f t="shared" si="4"/>
        <v>4</v>
      </c>
      <c r="S121" t="str">
        <f t="shared" si="5"/>
        <v>April</v>
      </c>
    </row>
    <row r="122" spans="1:19">
      <c r="A122" t="s">
        <v>288</v>
      </c>
      <c r="B122" s="2">
        <v>45751</v>
      </c>
      <c r="C122" t="s">
        <v>65</v>
      </c>
      <c r="D122" t="s">
        <v>18</v>
      </c>
      <c r="E122" t="s">
        <v>28</v>
      </c>
      <c r="F122" t="s">
        <v>148</v>
      </c>
      <c r="G122" t="s">
        <v>71</v>
      </c>
      <c r="H122" t="s">
        <v>187</v>
      </c>
      <c r="I122">
        <v>2</v>
      </c>
      <c r="J122">
        <v>1800</v>
      </c>
      <c r="K122">
        <v>0.05</v>
      </c>
      <c r="L122" t="s">
        <v>50</v>
      </c>
      <c r="M122" t="s">
        <v>33</v>
      </c>
      <c r="N122">
        <v>3600</v>
      </c>
      <c r="O122">
        <v>180</v>
      </c>
      <c r="P122">
        <v>3420</v>
      </c>
      <c r="Q122">
        <f t="shared" si="3"/>
        <v>2025</v>
      </c>
      <c r="R122">
        <f t="shared" si="4"/>
        <v>4</v>
      </c>
      <c r="S122" t="str">
        <f t="shared" si="5"/>
        <v>April</v>
      </c>
    </row>
    <row r="123" spans="1:19">
      <c r="A123" t="s">
        <v>289</v>
      </c>
      <c r="B123" s="2">
        <v>45752</v>
      </c>
      <c r="C123" t="s">
        <v>156</v>
      </c>
      <c r="D123" t="s">
        <v>89</v>
      </c>
      <c r="E123" t="s">
        <v>37</v>
      </c>
      <c r="F123" t="s">
        <v>90</v>
      </c>
      <c r="G123" t="s">
        <v>57</v>
      </c>
      <c r="H123" t="s">
        <v>142</v>
      </c>
      <c r="I123">
        <v>2</v>
      </c>
      <c r="J123">
        <v>900</v>
      </c>
      <c r="K123">
        <v>0.05</v>
      </c>
      <c r="L123" t="s">
        <v>32</v>
      </c>
      <c r="M123" t="s">
        <v>112</v>
      </c>
      <c r="N123">
        <v>1800</v>
      </c>
      <c r="O123">
        <v>90</v>
      </c>
      <c r="P123">
        <v>1710</v>
      </c>
      <c r="Q123">
        <f t="shared" si="3"/>
        <v>2025</v>
      </c>
      <c r="R123">
        <f t="shared" si="4"/>
        <v>4</v>
      </c>
      <c r="S123" t="str">
        <f t="shared" si="5"/>
        <v>April</v>
      </c>
    </row>
    <row r="124" spans="1:19">
      <c r="A124" t="s">
        <v>290</v>
      </c>
      <c r="B124" s="2">
        <v>45752</v>
      </c>
      <c r="C124" t="s">
        <v>223</v>
      </c>
      <c r="D124" t="s">
        <v>69</v>
      </c>
      <c r="E124" t="s">
        <v>37</v>
      </c>
      <c r="F124" t="s">
        <v>136</v>
      </c>
      <c r="G124" t="s">
        <v>30</v>
      </c>
      <c r="H124" t="s">
        <v>125</v>
      </c>
      <c r="I124">
        <v>1</v>
      </c>
      <c r="J124">
        <v>25000</v>
      </c>
      <c r="K124">
        <v>0.05</v>
      </c>
      <c r="L124" t="s">
        <v>23</v>
      </c>
      <c r="M124" t="s">
        <v>51</v>
      </c>
      <c r="N124">
        <v>25000</v>
      </c>
      <c r="O124">
        <v>1250</v>
      </c>
      <c r="P124">
        <v>23750</v>
      </c>
      <c r="Q124">
        <f t="shared" si="3"/>
        <v>2025</v>
      </c>
      <c r="R124">
        <f t="shared" si="4"/>
        <v>4</v>
      </c>
      <c r="S124" t="str">
        <f t="shared" si="5"/>
        <v>April</v>
      </c>
    </row>
    <row r="125" spans="1:19">
      <c r="A125" t="s">
        <v>291</v>
      </c>
      <c r="B125" s="2">
        <v>45753</v>
      </c>
      <c r="C125" t="s">
        <v>292</v>
      </c>
      <c r="D125" t="s">
        <v>61</v>
      </c>
      <c r="E125" t="s">
        <v>62</v>
      </c>
      <c r="F125" t="s">
        <v>293</v>
      </c>
      <c r="G125" t="s">
        <v>71</v>
      </c>
      <c r="H125" t="s">
        <v>128</v>
      </c>
      <c r="I125">
        <v>2</v>
      </c>
      <c r="J125">
        <v>500</v>
      </c>
      <c r="K125">
        <v>0.15</v>
      </c>
      <c r="L125" t="s">
        <v>32</v>
      </c>
      <c r="M125" t="s">
        <v>51</v>
      </c>
      <c r="N125">
        <v>1000</v>
      </c>
      <c r="O125">
        <v>150</v>
      </c>
      <c r="P125">
        <v>850</v>
      </c>
      <c r="Q125">
        <f t="shared" si="3"/>
        <v>2025</v>
      </c>
      <c r="R125">
        <f t="shared" si="4"/>
        <v>4</v>
      </c>
      <c r="S125" t="str">
        <f t="shared" si="5"/>
        <v>April</v>
      </c>
    </row>
    <row r="126" spans="1:19">
      <c r="A126" t="s">
        <v>294</v>
      </c>
      <c r="B126" s="2">
        <v>45753</v>
      </c>
      <c r="C126" t="s">
        <v>267</v>
      </c>
      <c r="D126" t="s">
        <v>61</v>
      </c>
      <c r="E126" t="s">
        <v>62</v>
      </c>
      <c r="F126" t="s">
        <v>78</v>
      </c>
      <c r="G126" t="s">
        <v>71</v>
      </c>
      <c r="H126" t="s">
        <v>99</v>
      </c>
      <c r="I126">
        <v>3</v>
      </c>
      <c r="J126">
        <v>250</v>
      </c>
      <c r="K126">
        <v>0.05</v>
      </c>
      <c r="L126" t="s">
        <v>23</v>
      </c>
      <c r="M126" t="s">
        <v>24</v>
      </c>
      <c r="N126">
        <v>750</v>
      </c>
      <c r="O126">
        <v>37.5</v>
      </c>
      <c r="P126">
        <v>712.5</v>
      </c>
      <c r="Q126">
        <f t="shared" si="3"/>
        <v>2025</v>
      </c>
      <c r="R126">
        <f t="shared" si="4"/>
        <v>4</v>
      </c>
      <c r="S126" t="str">
        <f t="shared" si="5"/>
        <v>April</v>
      </c>
    </row>
    <row r="127" spans="1:19">
      <c r="A127" t="s">
        <v>295</v>
      </c>
      <c r="B127" s="2">
        <v>45757</v>
      </c>
      <c r="C127" t="s">
        <v>212</v>
      </c>
      <c r="D127" t="s">
        <v>228</v>
      </c>
      <c r="E127" t="s">
        <v>28</v>
      </c>
      <c r="F127" t="s">
        <v>82</v>
      </c>
      <c r="G127" t="s">
        <v>57</v>
      </c>
      <c r="H127" t="s">
        <v>75</v>
      </c>
      <c r="I127">
        <v>3</v>
      </c>
      <c r="J127">
        <v>3500</v>
      </c>
      <c r="K127">
        <v>0</v>
      </c>
      <c r="L127" t="s">
        <v>50</v>
      </c>
      <c r="M127" t="s">
        <v>51</v>
      </c>
      <c r="N127">
        <v>10500</v>
      </c>
      <c r="O127">
        <v>0</v>
      </c>
      <c r="P127">
        <v>10500</v>
      </c>
      <c r="Q127">
        <f t="shared" si="3"/>
        <v>2025</v>
      </c>
      <c r="R127">
        <f t="shared" si="4"/>
        <v>4</v>
      </c>
      <c r="S127" t="str">
        <f t="shared" si="5"/>
        <v>April</v>
      </c>
    </row>
    <row r="128" spans="1:19">
      <c r="A128" t="s">
        <v>296</v>
      </c>
      <c r="B128" s="2">
        <v>45758</v>
      </c>
      <c r="C128" t="s">
        <v>297</v>
      </c>
      <c r="D128" t="s">
        <v>18</v>
      </c>
      <c r="E128" t="s">
        <v>62</v>
      </c>
      <c r="F128" t="s">
        <v>94</v>
      </c>
      <c r="G128" t="s">
        <v>71</v>
      </c>
      <c r="H128" t="s">
        <v>187</v>
      </c>
      <c r="I128">
        <v>4</v>
      </c>
      <c r="J128">
        <v>120</v>
      </c>
      <c r="K128">
        <v>0.05</v>
      </c>
      <c r="L128" t="s">
        <v>23</v>
      </c>
      <c r="M128" t="s">
        <v>112</v>
      </c>
      <c r="N128">
        <v>480</v>
      </c>
      <c r="O128">
        <v>24</v>
      </c>
      <c r="P128">
        <v>456</v>
      </c>
      <c r="Q128">
        <f t="shared" si="3"/>
        <v>2025</v>
      </c>
      <c r="R128">
        <f t="shared" si="4"/>
        <v>4</v>
      </c>
      <c r="S128" t="str">
        <f t="shared" si="5"/>
        <v>April</v>
      </c>
    </row>
    <row r="129" spans="1:19">
      <c r="A129" t="s">
        <v>298</v>
      </c>
      <c r="B129" s="2">
        <v>45758</v>
      </c>
      <c r="C129" t="s">
        <v>163</v>
      </c>
      <c r="D129" t="s">
        <v>36</v>
      </c>
      <c r="E129" t="s">
        <v>37</v>
      </c>
      <c r="F129" t="s">
        <v>43</v>
      </c>
      <c r="G129" t="s">
        <v>21</v>
      </c>
      <c r="H129" t="s">
        <v>83</v>
      </c>
      <c r="I129">
        <v>2</v>
      </c>
      <c r="J129">
        <v>1800</v>
      </c>
      <c r="K129">
        <v>0</v>
      </c>
      <c r="L129" t="s">
        <v>32</v>
      </c>
      <c r="M129" t="s">
        <v>112</v>
      </c>
      <c r="N129">
        <v>3600</v>
      </c>
      <c r="O129">
        <v>0</v>
      </c>
      <c r="P129">
        <v>3600</v>
      </c>
      <c r="Q129">
        <f t="shared" si="3"/>
        <v>2025</v>
      </c>
      <c r="R129">
        <f t="shared" si="4"/>
        <v>4</v>
      </c>
      <c r="S129" t="str">
        <f t="shared" si="5"/>
        <v>April</v>
      </c>
    </row>
    <row r="130" spans="1:19">
      <c r="A130" t="s">
        <v>299</v>
      </c>
      <c r="B130" s="2">
        <v>45759</v>
      </c>
      <c r="C130" t="s">
        <v>262</v>
      </c>
      <c r="D130" t="s">
        <v>86</v>
      </c>
      <c r="E130" t="s">
        <v>37</v>
      </c>
      <c r="F130" t="s">
        <v>166</v>
      </c>
      <c r="G130" t="s">
        <v>71</v>
      </c>
      <c r="H130" t="s">
        <v>187</v>
      </c>
      <c r="I130">
        <v>1</v>
      </c>
      <c r="J130">
        <v>15000</v>
      </c>
      <c r="K130">
        <v>0.15</v>
      </c>
      <c r="L130" t="s">
        <v>50</v>
      </c>
      <c r="M130" t="s">
        <v>112</v>
      </c>
      <c r="N130">
        <v>15000</v>
      </c>
      <c r="O130">
        <v>2250</v>
      </c>
      <c r="P130">
        <v>12750</v>
      </c>
      <c r="Q130">
        <f t="shared" si="3"/>
        <v>2025</v>
      </c>
      <c r="R130">
        <f t="shared" si="4"/>
        <v>4</v>
      </c>
      <c r="S130" t="str">
        <f t="shared" si="5"/>
        <v>April</v>
      </c>
    </row>
    <row r="131" spans="1:19">
      <c r="A131" t="s">
        <v>300</v>
      </c>
      <c r="B131" s="2">
        <v>45760</v>
      </c>
      <c r="C131" t="s">
        <v>156</v>
      </c>
      <c r="D131" t="s">
        <v>81</v>
      </c>
      <c r="E131" t="s">
        <v>37</v>
      </c>
      <c r="F131" t="s">
        <v>90</v>
      </c>
      <c r="G131" t="s">
        <v>30</v>
      </c>
      <c r="H131" t="s">
        <v>31</v>
      </c>
      <c r="I131">
        <v>2</v>
      </c>
      <c r="J131">
        <v>900</v>
      </c>
      <c r="K131">
        <v>0.1</v>
      </c>
      <c r="L131" t="s">
        <v>44</v>
      </c>
      <c r="M131" t="s">
        <v>91</v>
      </c>
      <c r="N131">
        <v>1800</v>
      </c>
      <c r="O131">
        <v>180</v>
      </c>
      <c r="P131">
        <v>1620</v>
      </c>
      <c r="Q131">
        <f t="shared" ref="Q131:Q194" si="6">YEAR(B131)</f>
        <v>2025</v>
      </c>
      <c r="R131">
        <f t="shared" ref="R131:R194" si="7">MONTH(B131)</f>
        <v>4</v>
      </c>
      <c r="S131" t="str">
        <f t="shared" ref="S131:S194" si="8">TEXT(B131,"mmmm")</f>
        <v>April</v>
      </c>
    </row>
    <row r="132" spans="1:19">
      <c r="A132" t="s">
        <v>301</v>
      </c>
      <c r="B132" s="2">
        <v>45760</v>
      </c>
      <c r="C132" t="s">
        <v>141</v>
      </c>
      <c r="D132" t="s">
        <v>69</v>
      </c>
      <c r="E132" t="s">
        <v>62</v>
      </c>
      <c r="F132" t="s">
        <v>78</v>
      </c>
      <c r="G132" t="s">
        <v>71</v>
      </c>
      <c r="H132" t="s">
        <v>99</v>
      </c>
      <c r="I132">
        <v>5</v>
      </c>
      <c r="J132">
        <v>250</v>
      </c>
      <c r="K132">
        <v>0.05</v>
      </c>
      <c r="L132" t="s">
        <v>50</v>
      </c>
      <c r="M132" t="s">
        <v>39</v>
      </c>
      <c r="N132">
        <v>1250</v>
      </c>
      <c r="O132">
        <v>62.5</v>
      </c>
      <c r="P132">
        <v>1187.5</v>
      </c>
      <c r="Q132">
        <f t="shared" si="6"/>
        <v>2025</v>
      </c>
      <c r="R132">
        <f t="shared" si="7"/>
        <v>4</v>
      </c>
      <c r="S132" t="str">
        <f t="shared" si="8"/>
        <v>April</v>
      </c>
    </row>
    <row r="133" spans="1:19">
      <c r="A133" t="s">
        <v>302</v>
      </c>
      <c r="B133" s="2">
        <v>45761</v>
      </c>
      <c r="C133" t="s">
        <v>232</v>
      </c>
      <c r="D133" t="s">
        <v>120</v>
      </c>
      <c r="E133" t="s">
        <v>28</v>
      </c>
      <c r="F133" t="s">
        <v>130</v>
      </c>
      <c r="G133" t="s">
        <v>30</v>
      </c>
      <c r="H133" t="s">
        <v>103</v>
      </c>
      <c r="I133">
        <v>3</v>
      </c>
      <c r="J133">
        <v>2200</v>
      </c>
      <c r="K133">
        <v>0.1</v>
      </c>
      <c r="L133" t="s">
        <v>32</v>
      </c>
      <c r="M133" t="s">
        <v>107</v>
      </c>
      <c r="N133">
        <v>6600</v>
      </c>
      <c r="O133">
        <v>660</v>
      </c>
      <c r="P133">
        <v>5940</v>
      </c>
      <c r="Q133">
        <f t="shared" si="6"/>
        <v>2025</v>
      </c>
      <c r="R133">
        <f t="shared" si="7"/>
        <v>4</v>
      </c>
      <c r="S133" t="str">
        <f t="shared" si="8"/>
        <v>April</v>
      </c>
    </row>
    <row r="134" spans="1:19">
      <c r="A134" t="s">
        <v>303</v>
      </c>
      <c r="B134" s="2">
        <v>45761</v>
      </c>
      <c r="C134" t="s">
        <v>171</v>
      </c>
      <c r="D134" t="s">
        <v>115</v>
      </c>
      <c r="E134" t="s">
        <v>37</v>
      </c>
      <c r="F134" t="s">
        <v>38</v>
      </c>
      <c r="G134" t="s">
        <v>21</v>
      </c>
      <c r="H134" t="s">
        <v>181</v>
      </c>
      <c r="I134">
        <v>1</v>
      </c>
      <c r="J134">
        <v>55000</v>
      </c>
      <c r="K134">
        <v>0.05</v>
      </c>
      <c r="L134" t="s">
        <v>50</v>
      </c>
      <c r="M134" t="s">
        <v>45</v>
      </c>
      <c r="N134">
        <v>55000</v>
      </c>
      <c r="O134">
        <v>2750</v>
      </c>
      <c r="P134">
        <v>52250</v>
      </c>
      <c r="Q134">
        <f t="shared" si="6"/>
        <v>2025</v>
      </c>
      <c r="R134">
        <f t="shared" si="7"/>
        <v>4</v>
      </c>
      <c r="S134" t="str">
        <f t="shared" si="8"/>
        <v>April</v>
      </c>
    </row>
    <row r="135" spans="1:19">
      <c r="A135" t="s">
        <v>304</v>
      </c>
      <c r="B135" s="2">
        <v>45762</v>
      </c>
      <c r="C135" t="s">
        <v>305</v>
      </c>
      <c r="D135" t="s">
        <v>106</v>
      </c>
      <c r="E135" t="s">
        <v>55</v>
      </c>
      <c r="F135" t="s">
        <v>56</v>
      </c>
      <c r="G135" t="s">
        <v>71</v>
      </c>
      <c r="H135" t="s">
        <v>72</v>
      </c>
      <c r="I135">
        <v>1</v>
      </c>
      <c r="J135">
        <v>12000</v>
      </c>
      <c r="K135">
        <v>0</v>
      </c>
      <c r="L135" t="s">
        <v>44</v>
      </c>
      <c r="M135" t="s">
        <v>107</v>
      </c>
      <c r="N135">
        <v>12000</v>
      </c>
      <c r="O135">
        <v>0</v>
      </c>
      <c r="P135">
        <v>12000</v>
      </c>
      <c r="Q135">
        <f t="shared" si="6"/>
        <v>2025</v>
      </c>
      <c r="R135">
        <f t="shared" si="7"/>
        <v>4</v>
      </c>
      <c r="S135" t="str">
        <f t="shared" si="8"/>
        <v>April</v>
      </c>
    </row>
    <row r="136" spans="1:19">
      <c r="A136" t="s">
        <v>306</v>
      </c>
      <c r="B136" s="2">
        <v>45763</v>
      </c>
      <c r="C136" t="s">
        <v>247</v>
      </c>
      <c r="D136" t="s">
        <v>228</v>
      </c>
      <c r="E136" t="s">
        <v>28</v>
      </c>
      <c r="F136" t="s">
        <v>29</v>
      </c>
      <c r="G136" t="s">
        <v>30</v>
      </c>
      <c r="H136" t="s">
        <v>49</v>
      </c>
      <c r="I136">
        <v>5</v>
      </c>
      <c r="J136">
        <v>4000</v>
      </c>
      <c r="K136">
        <v>0.1</v>
      </c>
      <c r="L136" t="s">
        <v>44</v>
      </c>
      <c r="M136" t="s">
        <v>45</v>
      </c>
      <c r="N136">
        <v>20000</v>
      </c>
      <c r="O136">
        <v>2000</v>
      </c>
      <c r="P136">
        <v>18000</v>
      </c>
      <c r="Q136">
        <f t="shared" si="6"/>
        <v>2025</v>
      </c>
      <c r="R136">
        <f t="shared" si="7"/>
        <v>4</v>
      </c>
      <c r="S136" t="str">
        <f t="shared" si="8"/>
        <v>April</v>
      </c>
    </row>
    <row r="137" spans="1:19">
      <c r="A137" t="s">
        <v>307</v>
      </c>
      <c r="B137" s="2">
        <v>45764</v>
      </c>
      <c r="C137" t="s">
        <v>158</v>
      </c>
      <c r="D137" t="s">
        <v>86</v>
      </c>
      <c r="E137" t="s">
        <v>62</v>
      </c>
      <c r="F137" t="s">
        <v>63</v>
      </c>
      <c r="G137" t="s">
        <v>21</v>
      </c>
      <c r="H137" t="s">
        <v>185</v>
      </c>
      <c r="I137">
        <v>4</v>
      </c>
      <c r="J137">
        <v>180</v>
      </c>
      <c r="K137">
        <v>0.05</v>
      </c>
      <c r="L137" t="s">
        <v>32</v>
      </c>
      <c r="M137" t="s">
        <v>51</v>
      </c>
      <c r="N137">
        <v>720</v>
      </c>
      <c r="O137">
        <v>36</v>
      </c>
      <c r="P137">
        <v>684</v>
      </c>
      <c r="Q137">
        <f t="shared" si="6"/>
        <v>2025</v>
      </c>
      <c r="R137">
        <f t="shared" si="7"/>
        <v>4</v>
      </c>
      <c r="S137" t="str">
        <f t="shared" si="8"/>
        <v>April</v>
      </c>
    </row>
    <row r="138" spans="1:19">
      <c r="A138" t="s">
        <v>308</v>
      </c>
      <c r="B138" s="2">
        <v>45765</v>
      </c>
      <c r="C138" t="s">
        <v>309</v>
      </c>
      <c r="D138" t="s">
        <v>74</v>
      </c>
      <c r="E138" t="s">
        <v>37</v>
      </c>
      <c r="F138" t="s">
        <v>196</v>
      </c>
      <c r="G138" t="s">
        <v>21</v>
      </c>
      <c r="H138" t="s">
        <v>83</v>
      </c>
      <c r="I138">
        <v>1</v>
      </c>
      <c r="J138">
        <v>2500</v>
      </c>
      <c r="K138">
        <v>0</v>
      </c>
      <c r="L138" t="s">
        <v>50</v>
      </c>
      <c r="M138" t="s">
        <v>107</v>
      </c>
      <c r="N138">
        <v>2500</v>
      </c>
      <c r="O138">
        <v>0</v>
      </c>
      <c r="P138">
        <v>2500</v>
      </c>
      <c r="Q138">
        <f t="shared" si="6"/>
        <v>2025</v>
      </c>
      <c r="R138">
        <f t="shared" si="7"/>
        <v>4</v>
      </c>
      <c r="S138" t="str">
        <f t="shared" si="8"/>
        <v>April</v>
      </c>
    </row>
    <row r="139" spans="1:19">
      <c r="A139" t="s">
        <v>310</v>
      </c>
      <c r="B139" s="2">
        <v>45765</v>
      </c>
      <c r="C139" t="s">
        <v>144</v>
      </c>
      <c r="D139" t="s">
        <v>74</v>
      </c>
      <c r="E139" t="s">
        <v>19</v>
      </c>
      <c r="F139" t="s">
        <v>124</v>
      </c>
      <c r="G139" t="s">
        <v>21</v>
      </c>
      <c r="H139" t="s">
        <v>22</v>
      </c>
      <c r="I139">
        <v>4</v>
      </c>
      <c r="J139">
        <v>7000</v>
      </c>
      <c r="K139">
        <v>0.1</v>
      </c>
      <c r="L139" t="s">
        <v>44</v>
      </c>
      <c r="M139" t="s">
        <v>24</v>
      </c>
      <c r="N139">
        <v>28000</v>
      </c>
      <c r="O139">
        <v>2800</v>
      </c>
      <c r="P139">
        <v>25200</v>
      </c>
      <c r="Q139">
        <f t="shared" si="6"/>
        <v>2025</v>
      </c>
      <c r="R139">
        <f t="shared" si="7"/>
        <v>4</v>
      </c>
      <c r="S139" t="str">
        <f t="shared" si="8"/>
        <v>April</v>
      </c>
    </row>
    <row r="140" spans="1:19">
      <c r="A140" t="s">
        <v>311</v>
      </c>
      <c r="B140" s="2">
        <v>45765</v>
      </c>
      <c r="C140" t="s">
        <v>80</v>
      </c>
      <c r="D140" t="s">
        <v>153</v>
      </c>
      <c r="E140" t="s">
        <v>37</v>
      </c>
      <c r="F140" t="s">
        <v>196</v>
      </c>
      <c r="G140" t="s">
        <v>30</v>
      </c>
      <c r="H140" t="s">
        <v>125</v>
      </c>
      <c r="I140">
        <v>3</v>
      </c>
      <c r="J140">
        <v>2500</v>
      </c>
      <c r="K140">
        <v>0.05</v>
      </c>
      <c r="L140" t="s">
        <v>50</v>
      </c>
      <c r="M140" t="s">
        <v>107</v>
      </c>
      <c r="N140">
        <v>7500</v>
      </c>
      <c r="O140">
        <v>375</v>
      </c>
      <c r="P140">
        <v>7125</v>
      </c>
      <c r="Q140">
        <f t="shared" si="6"/>
        <v>2025</v>
      </c>
      <c r="R140">
        <f t="shared" si="7"/>
        <v>4</v>
      </c>
      <c r="S140" t="str">
        <f t="shared" si="8"/>
        <v>April</v>
      </c>
    </row>
    <row r="141" spans="1:19">
      <c r="A141" t="s">
        <v>312</v>
      </c>
      <c r="B141" s="2">
        <v>45766</v>
      </c>
      <c r="C141" t="s">
        <v>313</v>
      </c>
      <c r="D141" t="s">
        <v>74</v>
      </c>
      <c r="E141" t="s">
        <v>37</v>
      </c>
      <c r="F141" t="s">
        <v>90</v>
      </c>
      <c r="G141" t="s">
        <v>30</v>
      </c>
      <c r="H141" t="s">
        <v>31</v>
      </c>
      <c r="I141">
        <v>4</v>
      </c>
      <c r="J141">
        <v>900</v>
      </c>
      <c r="K141">
        <v>0.1</v>
      </c>
      <c r="L141" t="s">
        <v>50</v>
      </c>
      <c r="M141" t="s">
        <v>45</v>
      </c>
      <c r="N141">
        <v>3600</v>
      </c>
      <c r="O141">
        <v>360</v>
      </c>
      <c r="P141">
        <v>3240</v>
      </c>
      <c r="Q141">
        <f t="shared" si="6"/>
        <v>2025</v>
      </c>
      <c r="R141">
        <f t="shared" si="7"/>
        <v>4</v>
      </c>
      <c r="S141" t="str">
        <f t="shared" si="8"/>
        <v>April</v>
      </c>
    </row>
    <row r="142" spans="1:19">
      <c r="A142" t="s">
        <v>314</v>
      </c>
      <c r="B142" s="2">
        <v>45766</v>
      </c>
      <c r="C142" t="s">
        <v>315</v>
      </c>
      <c r="D142" t="s">
        <v>135</v>
      </c>
      <c r="E142" t="s">
        <v>55</v>
      </c>
      <c r="F142" t="s">
        <v>213</v>
      </c>
      <c r="G142" t="s">
        <v>57</v>
      </c>
      <c r="H142" t="s">
        <v>142</v>
      </c>
      <c r="I142">
        <v>2</v>
      </c>
      <c r="J142">
        <v>8500</v>
      </c>
      <c r="K142">
        <v>0.15</v>
      </c>
      <c r="L142" t="s">
        <v>32</v>
      </c>
      <c r="M142" t="s">
        <v>112</v>
      </c>
      <c r="N142">
        <v>17000</v>
      </c>
      <c r="O142">
        <v>2550</v>
      </c>
      <c r="P142">
        <v>14450</v>
      </c>
      <c r="Q142">
        <f t="shared" si="6"/>
        <v>2025</v>
      </c>
      <c r="R142">
        <f t="shared" si="7"/>
        <v>4</v>
      </c>
      <c r="S142" t="str">
        <f t="shared" si="8"/>
        <v>April</v>
      </c>
    </row>
    <row r="143" spans="1:19">
      <c r="A143" t="s">
        <v>316</v>
      </c>
      <c r="B143" s="2">
        <v>45767</v>
      </c>
      <c r="C143" t="s">
        <v>160</v>
      </c>
      <c r="D143" t="s">
        <v>54</v>
      </c>
      <c r="E143" t="s">
        <v>55</v>
      </c>
      <c r="F143" t="s">
        <v>145</v>
      </c>
      <c r="G143" t="s">
        <v>30</v>
      </c>
      <c r="H143" t="s">
        <v>31</v>
      </c>
      <c r="I143">
        <v>5</v>
      </c>
      <c r="J143">
        <v>1800</v>
      </c>
      <c r="K143">
        <v>0.1</v>
      </c>
      <c r="L143" t="s">
        <v>50</v>
      </c>
      <c r="M143" t="s">
        <v>24</v>
      </c>
      <c r="N143">
        <v>9000</v>
      </c>
      <c r="O143">
        <v>900</v>
      </c>
      <c r="P143">
        <v>8100</v>
      </c>
      <c r="Q143">
        <f t="shared" si="6"/>
        <v>2025</v>
      </c>
      <c r="R143">
        <f t="shared" si="7"/>
        <v>4</v>
      </c>
      <c r="S143" t="str">
        <f t="shared" si="8"/>
        <v>April</v>
      </c>
    </row>
    <row r="144" spans="1:19">
      <c r="A144" t="s">
        <v>317</v>
      </c>
      <c r="B144" s="2">
        <v>45768</v>
      </c>
      <c r="C144" t="s">
        <v>114</v>
      </c>
      <c r="D144" t="s">
        <v>89</v>
      </c>
      <c r="E144" t="s">
        <v>28</v>
      </c>
      <c r="F144" t="s">
        <v>66</v>
      </c>
      <c r="G144" t="s">
        <v>30</v>
      </c>
      <c r="H144" t="s">
        <v>49</v>
      </c>
      <c r="I144">
        <v>2</v>
      </c>
      <c r="J144">
        <v>900</v>
      </c>
      <c r="K144">
        <v>0.05</v>
      </c>
      <c r="L144" t="s">
        <v>23</v>
      </c>
      <c r="M144" t="s">
        <v>51</v>
      </c>
      <c r="N144">
        <v>1800</v>
      </c>
      <c r="O144">
        <v>90</v>
      </c>
      <c r="P144">
        <v>1710</v>
      </c>
      <c r="Q144">
        <f t="shared" si="6"/>
        <v>2025</v>
      </c>
      <c r="R144">
        <f t="shared" si="7"/>
        <v>4</v>
      </c>
      <c r="S144" t="str">
        <f t="shared" si="8"/>
        <v>April</v>
      </c>
    </row>
    <row r="145" spans="1:19">
      <c r="A145" t="s">
        <v>318</v>
      </c>
      <c r="B145" s="2">
        <v>45768</v>
      </c>
      <c r="C145" t="s">
        <v>165</v>
      </c>
      <c r="D145" t="s">
        <v>228</v>
      </c>
      <c r="E145" t="s">
        <v>19</v>
      </c>
      <c r="F145" t="s">
        <v>139</v>
      </c>
      <c r="G145" t="s">
        <v>30</v>
      </c>
      <c r="H145" t="s">
        <v>49</v>
      </c>
      <c r="I145">
        <v>5</v>
      </c>
      <c r="J145">
        <v>6000</v>
      </c>
      <c r="K145">
        <v>0.15</v>
      </c>
      <c r="L145" t="s">
        <v>23</v>
      </c>
      <c r="M145" t="s">
        <v>45</v>
      </c>
      <c r="N145">
        <v>30000</v>
      </c>
      <c r="O145">
        <v>4500</v>
      </c>
      <c r="P145">
        <v>25500</v>
      </c>
      <c r="Q145">
        <f t="shared" si="6"/>
        <v>2025</v>
      </c>
      <c r="R145">
        <f t="shared" si="7"/>
        <v>4</v>
      </c>
      <c r="S145" t="str">
        <f t="shared" si="8"/>
        <v>April</v>
      </c>
    </row>
    <row r="146" spans="1:19">
      <c r="A146" t="s">
        <v>319</v>
      </c>
      <c r="B146" s="2">
        <v>45769</v>
      </c>
      <c r="C146" t="s">
        <v>257</v>
      </c>
      <c r="D146" t="s">
        <v>69</v>
      </c>
      <c r="E146" t="s">
        <v>28</v>
      </c>
      <c r="F146" t="s">
        <v>233</v>
      </c>
      <c r="G146" t="s">
        <v>30</v>
      </c>
      <c r="H146" t="s">
        <v>49</v>
      </c>
      <c r="I146">
        <v>1</v>
      </c>
      <c r="J146">
        <v>2800</v>
      </c>
      <c r="K146">
        <v>0</v>
      </c>
      <c r="L146" t="s">
        <v>32</v>
      </c>
      <c r="M146" t="s">
        <v>45</v>
      </c>
      <c r="N146">
        <v>2800</v>
      </c>
      <c r="O146">
        <v>0</v>
      </c>
      <c r="P146">
        <v>2800</v>
      </c>
      <c r="Q146">
        <f t="shared" si="6"/>
        <v>2025</v>
      </c>
      <c r="R146">
        <f t="shared" si="7"/>
        <v>4</v>
      </c>
      <c r="S146" t="str">
        <f t="shared" si="8"/>
        <v>April</v>
      </c>
    </row>
    <row r="147" spans="1:19">
      <c r="A147" t="s">
        <v>320</v>
      </c>
      <c r="B147" s="2">
        <v>45769</v>
      </c>
      <c r="C147" t="s">
        <v>68</v>
      </c>
      <c r="D147" t="s">
        <v>81</v>
      </c>
      <c r="E147" t="s">
        <v>19</v>
      </c>
      <c r="F147" t="s">
        <v>124</v>
      </c>
      <c r="G147" t="s">
        <v>57</v>
      </c>
      <c r="H147" t="s">
        <v>75</v>
      </c>
      <c r="I147">
        <v>5</v>
      </c>
      <c r="J147">
        <v>7000</v>
      </c>
      <c r="K147">
        <v>0.15</v>
      </c>
      <c r="L147" t="s">
        <v>44</v>
      </c>
      <c r="M147" t="s">
        <v>91</v>
      </c>
      <c r="N147">
        <v>35000</v>
      </c>
      <c r="O147">
        <v>5250</v>
      </c>
      <c r="P147">
        <v>29750</v>
      </c>
      <c r="Q147">
        <f t="shared" si="6"/>
        <v>2025</v>
      </c>
      <c r="R147">
        <f t="shared" si="7"/>
        <v>4</v>
      </c>
      <c r="S147" t="str">
        <f t="shared" si="8"/>
        <v>April</v>
      </c>
    </row>
    <row r="148" spans="1:19">
      <c r="A148" t="s">
        <v>321</v>
      </c>
      <c r="B148" s="2">
        <v>45770</v>
      </c>
      <c r="C148" t="s">
        <v>313</v>
      </c>
      <c r="D148" t="s">
        <v>54</v>
      </c>
      <c r="E148" t="s">
        <v>19</v>
      </c>
      <c r="F148" t="s">
        <v>70</v>
      </c>
      <c r="G148" t="s">
        <v>21</v>
      </c>
      <c r="H148" t="s">
        <v>181</v>
      </c>
      <c r="I148">
        <v>2</v>
      </c>
      <c r="J148">
        <v>6500</v>
      </c>
      <c r="K148">
        <v>0.05</v>
      </c>
      <c r="L148" t="s">
        <v>50</v>
      </c>
      <c r="M148" t="s">
        <v>91</v>
      </c>
      <c r="N148">
        <v>13000</v>
      </c>
      <c r="O148">
        <v>650</v>
      </c>
      <c r="P148">
        <v>12350</v>
      </c>
      <c r="Q148">
        <f t="shared" si="6"/>
        <v>2025</v>
      </c>
      <c r="R148">
        <f t="shared" si="7"/>
        <v>4</v>
      </c>
      <c r="S148" t="str">
        <f t="shared" si="8"/>
        <v>April</v>
      </c>
    </row>
    <row r="149" spans="1:19">
      <c r="A149" t="s">
        <v>322</v>
      </c>
      <c r="B149" s="2">
        <v>45771</v>
      </c>
      <c r="C149" t="s">
        <v>65</v>
      </c>
      <c r="D149" t="s">
        <v>36</v>
      </c>
      <c r="E149" t="s">
        <v>37</v>
      </c>
      <c r="F149" t="s">
        <v>136</v>
      </c>
      <c r="G149" t="s">
        <v>30</v>
      </c>
      <c r="H149" t="s">
        <v>125</v>
      </c>
      <c r="I149">
        <v>2</v>
      </c>
      <c r="J149">
        <v>25000</v>
      </c>
      <c r="K149">
        <v>0.05</v>
      </c>
      <c r="L149" t="s">
        <v>44</v>
      </c>
      <c r="M149" t="s">
        <v>39</v>
      </c>
      <c r="N149">
        <v>50000</v>
      </c>
      <c r="O149">
        <v>2500</v>
      </c>
      <c r="P149">
        <v>47500</v>
      </c>
      <c r="Q149">
        <f t="shared" si="6"/>
        <v>2025</v>
      </c>
      <c r="R149">
        <f t="shared" si="7"/>
        <v>4</v>
      </c>
      <c r="S149" t="str">
        <f t="shared" si="8"/>
        <v>April</v>
      </c>
    </row>
    <row r="150" spans="1:19">
      <c r="A150" t="s">
        <v>323</v>
      </c>
      <c r="B150" s="2">
        <v>45771</v>
      </c>
      <c r="C150" t="s">
        <v>292</v>
      </c>
      <c r="D150" t="s">
        <v>18</v>
      </c>
      <c r="E150" t="s">
        <v>37</v>
      </c>
      <c r="F150" t="s">
        <v>43</v>
      </c>
      <c r="G150" t="s">
        <v>30</v>
      </c>
      <c r="H150" t="s">
        <v>125</v>
      </c>
      <c r="I150">
        <v>2</v>
      </c>
      <c r="J150">
        <v>1800</v>
      </c>
      <c r="K150">
        <v>0.1</v>
      </c>
      <c r="L150" t="s">
        <v>23</v>
      </c>
      <c r="M150" t="s">
        <v>51</v>
      </c>
      <c r="N150">
        <v>3600</v>
      </c>
      <c r="O150">
        <v>360</v>
      </c>
      <c r="P150">
        <v>3240</v>
      </c>
      <c r="Q150">
        <f t="shared" si="6"/>
        <v>2025</v>
      </c>
      <c r="R150">
        <f t="shared" si="7"/>
        <v>4</v>
      </c>
      <c r="S150" t="str">
        <f t="shared" si="8"/>
        <v>April</v>
      </c>
    </row>
    <row r="151" spans="1:19">
      <c r="A151" t="s">
        <v>324</v>
      </c>
      <c r="B151" s="2">
        <v>45771</v>
      </c>
      <c r="C151" t="s">
        <v>325</v>
      </c>
      <c r="D151" t="s">
        <v>54</v>
      </c>
      <c r="E151" t="s">
        <v>55</v>
      </c>
      <c r="F151" t="s">
        <v>56</v>
      </c>
      <c r="G151" t="s">
        <v>71</v>
      </c>
      <c r="H151" t="s">
        <v>187</v>
      </c>
      <c r="I151">
        <v>4</v>
      </c>
      <c r="J151">
        <v>12000</v>
      </c>
      <c r="K151">
        <v>0.1</v>
      </c>
      <c r="L151" t="s">
        <v>32</v>
      </c>
      <c r="M151" t="s">
        <v>33</v>
      </c>
      <c r="N151">
        <v>48000</v>
      </c>
      <c r="O151">
        <v>4800</v>
      </c>
      <c r="P151">
        <v>43200</v>
      </c>
      <c r="Q151">
        <f t="shared" si="6"/>
        <v>2025</v>
      </c>
      <c r="R151">
        <f t="shared" si="7"/>
        <v>4</v>
      </c>
      <c r="S151" t="str">
        <f t="shared" si="8"/>
        <v>April</v>
      </c>
    </row>
    <row r="152" spans="1:19">
      <c r="A152" t="s">
        <v>326</v>
      </c>
      <c r="B152" s="2">
        <v>45772</v>
      </c>
      <c r="C152" t="s">
        <v>315</v>
      </c>
      <c r="D152" t="s">
        <v>81</v>
      </c>
      <c r="E152" t="s">
        <v>19</v>
      </c>
      <c r="F152" t="s">
        <v>20</v>
      </c>
      <c r="G152" t="s">
        <v>71</v>
      </c>
      <c r="H152" t="s">
        <v>128</v>
      </c>
      <c r="I152">
        <v>2</v>
      </c>
      <c r="J152">
        <v>9000</v>
      </c>
      <c r="K152">
        <v>0.05</v>
      </c>
      <c r="L152" t="s">
        <v>32</v>
      </c>
      <c r="M152" t="s">
        <v>91</v>
      </c>
      <c r="N152">
        <v>18000</v>
      </c>
      <c r="O152">
        <v>900</v>
      </c>
      <c r="P152">
        <v>17100</v>
      </c>
      <c r="Q152">
        <f t="shared" si="6"/>
        <v>2025</v>
      </c>
      <c r="R152">
        <f t="shared" si="7"/>
        <v>4</v>
      </c>
      <c r="S152" t="str">
        <f t="shared" si="8"/>
        <v>April</v>
      </c>
    </row>
    <row r="153" spans="1:19">
      <c r="A153" t="s">
        <v>327</v>
      </c>
      <c r="B153" s="2">
        <v>45774</v>
      </c>
      <c r="C153" t="s">
        <v>101</v>
      </c>
      <c r="D153" t="s">
        <v>54</v>
      </c>
      <c r="E153" t="s">
        <v>28</v>
      </c>
      <c r="F153" t="s">
        <v>66</v>
      </c>
      <c r="G153" t="s">
        <v>30</v>
      </c>
      <c r="H153" t="s">
        <v>125</v>
      </c>
      <c r="I153">
        <v>1</v>
      </c>
      <c r="J153">
        <v>900</v>
      </c>
      <c r="K153">
        <v>0.05</v>
      </c>
      <c r="L153" t="s">
        <v>44</v>
      </c>
      <c r="M153" t="s">
        <v>107</v>
      </c>
      <c r="N153">
        <v>900</v>
      </c>
      <c r="O153">
        <v>45</v>
      </c>
      <c r="P153">
        <v>855</v>
      </c>
      <c r="Q153">
        <f t="shared" si="6"/>
        <v>2025</v>
      </c>
      <c r="R153">
        <f t="shared" si="7"/>
        <v>4</v>
      </c>
      <c r="S153" t="str">
        <f t="shared" si="8"/>
        <v>April</v>
      </c>
    </row>
    <row r="154" spans="1:19">
      <c r="A154" t="s">
        <v>328</v>
      </c>
      <c r="B154" s="2">
        <v>45775</v>
      </c>
      <c r="C154" t="s">
        <v>227</v>
      </c>
      <c r="D154" t="s">
        <v>135</v>
      </c>
      <c r="E154" t="s">
        <v>37</v>
      </c>
      <c r="F154" t="s">
        <v>136</v>
      </c>
      <c r="G154" t="s">
        <v>30</v>
      </c>
      <c r="H154" t="s">
        <v>125</v>
      </c>
      <c r="I154">
        <v>2</v>
      </c>
      <c r="J154">
        <v>25000</v>
      </c>
      <c r="K154">
        <v>0</v>
      </c>
      <c r="L154" t="s">
        <v>32</v>
      </c>
      <c r="M154" t="s">
        <v>33</v>
      </c>
      <c r="N154">
        <v>50000</v>
      </c>
      <c r="O154">
        <v>0</v>
      </c>
      <c r="P154">
        <v>50000</v>
      </c>
      <c r="Q154">
        <f t="shared" si="6"/>
        <v>2025</v>
      </c>
      <c r="R154">
        <f t="shared" si="7"/>
        <v>4</v>
      </c>
      <c r="S154" t="str">
        <f t="shared" si="8"/>
        <v>April</v>
      </c>
    </row>
    <row r="155" spans="1:19">
      <c r="A155" t="s">
        <v>329</v>
      </c>
      <c r="B155" s="2">
        <v>45775</v>
      </c>
      <c r="C155" t="s">
        <v>285</v>
      </c>
      <c r="D155" t="s">
        <v>69</v>
      </c>
      <c r="E155" t="s">
        <v>55</v>
      </c>
      <c r="F155" t="s">
        <v>150</v>
      </c>
      <c r="G155" t="s">
        <v>57</v>
      </c>
      <c r="H155" t="s">
        <v>58</v>
      </c>
      <c r="I155">
        <v>1</v>
      </c>
      <c r="J155">
        <v>4500</v>
      </c>
      <c r="K155">
        <v>0.05</v>
      </c>
      <c r="L155" t="s">
        <v>32</v>
      </c>
      <c r="M155" t="s">
        <v>45</v>
      </c>
      <c r="N155">
        <v>4500</v>
      </c>
      <c r="O155">
        <v>225</v>
      </c>
      <c r="P155">
        <v>4275</v>
      </c>
      <c r="Q155">
        <f t="shared" si="6"/>
        <v>2025</v>
      </c>
      <c r="R155">
        <f t="shared" si="7"/>
        <v>4</v>
      </c>
      <c r="S155" t="str">
        <f t="shared" si="8"/>
        <v>April</v>
      </c>
    </row>
    <row r="156" spans="1:19">
      <c r="A156" t="s">
        <v>330</v>
      </c>
      <c r="B156" s="2">
        <v>45776</v>
      </c>
      <c r="C156" t="s">
        <v>212</v>
      </c>
      <c r="D156" t="s">
        <v>74</v>
      </c>
      <c r="E156" t="s">
        <v>55</v>
      </c>
      <c r="F156" t="s">
        <v>213</v>
      </c>
      <c r="G156" t="s">
        <v>71</v>
      </c>
      <c r="H156" t="s">
        <v>128</v>
      </c>
      <c r="I156">
        <v>2</v>
      </c>
      <c r="J156">
        <v>8500</v>
      </c>
      <c r="K156">
        <v>0.05</v>
      </c>
      <c r="L156" t="s">
        <v>32</v>
      </c>
      <c r="M156" t="s">
        <v>33</v>
      </c>
      <c r="N156">
        <v>17000</v>
      </c>
      <c r="O156">
        <v>850</v>
      </c>
      <c r="P156">
        <v>16150</v>
      </c>
      <c r="Q156">
        <f t="shared" si="6"/>
        <v>2025</v>
      </c>
      <c r="R156">
        <f t="shared" si="7"/>
        <v>4</v>
      </c>
      <c r="S156" t="str">
        <f t="shared" si="8"/>
        <v>April</v>
      </c>
    </row>
    <row r="157" spans="1:19">
      <c r="A157" t="s">
        <v>331</v>
      </c>
      <c r="B157" s="2">
        <v>45777</v>
      </c>
      <c r="C157" t="s">
        <v>156</v>
      </c>
      <c r="D157" t="s">
        <v>54</v>
      </c>
      <c r="E157" t="s">
        <v>28</v>
      </c>
      <c r="F157" t="s">
        <v>82</v>
      </c>
      <c r="G157" t="s">
        <v>71</v>
      </c>
      <c r="H157" t="s">
        <v>72</v>
      </c>
      <c r="I157">
        <v>1</v>
      </c>
      <c r="J157">
        <v>3500</v>
      </c>
      <c r="K157">
        <v>0</v>
      </c>
      <c r="L157" t="s">
        <v>23</v>
      </c>
      <c r="M157" t="s">
        <v>112</v>
      </c>
      <c r="N157">
        <v>3500</v>
      </c>
      <c r="O157">
        <v>0</v>
      </c>
      <c r="P157">
        <v>3500</v>
      </c>
      <c r="Q157">
        <f t="shared" si="6"/>
        <v>2025</v>
      </c>
      <c r="R157">
        <f t="shared" si="7"/>
        <v>4</v>
      </c>
      <c r="S157" t="str">
        <f t="shared" si="8"/>
        <v>April</v>
      </c>
    </row>
    <row r="158" spans="1:19">
      <c r="A158" t="s">
        <v>332</v>
      </c>
      <c r="B158" s="2">
        <v>45777</v>
      </c>
      <c r="C158" t="s">
        <v>333</v>
      </c>
      <c r="D158" t="s">
        <v>228</v>
      </c>
      <c r="E158" t="s">
        <v>28</v>
      </c>
      <c r="F158" t="s">
        <v>82</v>
      </c>
      <c r="G158" t="s">
        <v>21</v>
      </c>
      <c r="H158" t="s">
        <v>83</v>
      </c>
      <c r="I158">
        <v>3</v>
      </c>
      <c r="J158">
        <v>3500</v>
      </c>
      <c r="K158">
        <v>0</v>
      </c>
      <c r="L158" t="s">
        <v>23</v>
      </c>
      <c r="M158" t="s">
        <v>24</v>
      </c>
      <c r="N158">
        <v>10500</v>
      </c>
      <c r="O158">
        <v>0</v>
      </c>
      <c r="P158">
        <v>10500</v>
      </c>
      <c r="Q158">
        <f t="shared" si="6"/>
        <v>2025</v>
      </c>
      <c r="R158">
        <f t="shared" si="7"/>
        <v>4</v>
      </c>
      <c r="S158" t="str">
        <f t="shared" si="8"/>
        <v>April</v>
      </c>
    </row>
    <row r="159" spans="1:19">
      <c r="A159" t="s">
        <v>334</v>
      </c>
      <c r="B159" s="2">
        <v>45779</v>
      </c>
      <c r="C159" t="s">
        <v>238</v>
      </c>
      <c r="D159" t="s">
        <v>89</v>
      </c>
      <c r="E159" t="s">
        <v>19</v>
      </c>
      <c r="F159" t="s">
        <v>70</v>
      </c>
      <c r="G159" t="s">
        <v>71</v>
      </c>
      <c r="H159" t="s">
        <v>99</v>
      </c>
      <c r="I159">
        <v>5</v>
      </c>
      <c r="J159">
        <v>6500</v>
      </c>
      <c r="K159">
        <v>0.05</v>
      </c>
      <c r="L159" t="s">
        <v>50</v>
      </c>
      <c r="M159" t="s">
        <v>39</v>
      </c>
      <c r="N159">
        <v>32500</v>
      </c>
      <c r="O159">
        <v>1625</v>
      </c>
      <c r="P159">
        <v>30875</v>
      </c>
      <c r="Q159">
        <f t="shared" si="6"/>
        <v>2025</v>
      </c>
      <c r="R159">
        <f t="shared" si="7"/>
        <v>5</v>
      </c>
      <c r="S159" t="str">
        <f t="shared" si="8"/>
        <v>May</v>
      </c>
    </row>
    <row r="160" spans="1:19">
      <c r="A160" t="s">
        <v>335</v>
      </c>
      <c r="B160" s="2">
        <v>45780</v>
      </c>
      <c r="C160" t="s">
        <v>336</v>
      </c>
      <c r="D160" t="s">
        <v>228</v>
      </c>
      <c r="E160" t="s">
        <v>37</v>
      </c>
      <c r="F160" t="s">
        <v>43</v>
      </c>
      <c r="G160" t="s">
        <v>30</v>
      </c>
      <c r="H160" t="s">
        <v>49</v>
      </c>
      <c r="I160">
        <v>3</v>
      </c>
      <c r="J160">
        <v>1800</v>
      </c>
      <c r="K160">
        <v>0</v>
      </c>
      <c r="L160" t="s">
        <v>44</v>
      </c>
      <c r="M160" t="s">
        <v>112</v>
      </c>
      <c r="N160">
        <v>5400</v>
      </c>
      <c r="O160">
        <v>0</v>
      </c>
      <c r="P160">
        <v>5400</v>
      </c>
      <c r="Q160">
        <f t="shared" si="6"/>
        <v>2025</v>
      </c>
      <c r="R160">
        <f t="shared" si="7"/>
        <v>5</v>
      </c>
      <c r="S160" t="str">
        <f t="shared" si="8"/>
        <v>May</v>
      </c>
    </row>
    <row r="161" spans="1:19">
      <c r="A161" t="s">
        <v>337</v>
      </c>
      <c r="B161" s="2">
        <v>45781</v>
      </c>
      <c r="C161" t="s">
        <v>26</v>
      </c>
      <c r="D161" t="s">
        <v>36</v>
      </c>
      <c r="E161" t="s">
        <v>28</v>
      </c>
      <c r="F161" t="s">
        <v>130</v>
      </c>
      <c r="G161" t="s">
        <v>71</v>
      </c>
      <c r="H161" t="s">
        <v>128</v>
      </c>
      <c r="I161">
        <v>4</v>
      </c>
      <c r="J161">
        <v>2200</v>
      </c>
      <c r="K161">
        <v>0.1</v>
      </c>
      <c r="L161" t="s">
        <v>23</v>
      </c>
      <c r="M161" t="s">
        <v>24</v>
      </c>
      <c r="N161">
        <v>8800</v>
      </c>
      <c r="O161">
        <v>880</v>
      </c>
      <c r="P161">
        <v>7920</v>
      </c>
      <c r="Q161">
        <f t="shared" si="6"/>
        <v>2025</v>
      </c>
      <c r="R161">
        <f t="shared" si="7"/>
        <v>5</v>
      </c>
      <c r="S161" t="str">
        <f t="shared" si="8"/>
        <v>May</v>
      </c>
    </row>
    <row r="162" spans="1:19">
      <c r="A162" t="s">
        <v>338</v>
      </c>
      <c r="B162" s="2">
        <v>45782</v>
      </c>
      <c r="C162" t="s">
        <v>339</v>
      </c>
      <c r="D162" t="s">
        <v>36</v>
      </c>
      <c r="E162" t="s">
        <v>28</v>
      </c>
      <c r="F162" t="s">
        <v>148</v>
      </c>
      <c r="G162" t="s">
        <v>71</v>
      </c>
      <c r="H162" t="s">
        <v>187</v>
      </c>
      <c r="I162">
        <v>2</v>
      </c>
      <c r="J162">
        <v>1800</v>
      </c>
      <c r="K162">
        <v>0.05</v>
      </c>
      <c r="L162" t="s">
        <v>23</v>
      </c>
      <c r="M162" t="s">
        <v>91</v>
      </c>
      <c r="N162">
        <v>3600</v>
      </c>
      <c r="O162">
        <v>180</v>
      </c>
      <c r="P162">
        <v>3420</v>
      </c>
      <c r="Q162">
        <f t="shared" si="6"/>
        <v>2025</v>
      </c>
      <c r="R162">
        <f t="shared" si="7"/>
        <v>5</v>
      </c>
      <c r="S162" t="str">
        <f t="shared" si="8"/>
        <v>May</v>
      </c>
    </row>
    <row r="163" spans="1:19">
      <c r="A163" t="s">
        <v>340</v>
      </c>
      <c r="B163" s="2">
        <v>45783</v>
      </c>
      <c r="C163" t="s">
        <v>341</v>
      </c>
      <c r="D163" t="s">
        <v>36</v>
      </c>
      <c r="E163" t="s">
        <v>37</v>
      </c>
      <c r="F163" t="s">
        <v>43</v>
      </c>
      <c r="G163" t="s">
        <v>57</v>
      </c>
      <c r="H163" t="s">
        <v>58</v>
      </c>
      <c r="I163">
        <v>3</v>
      </c>
      <c r="J163">
        <v>1800</v>
      </c>
      <c r="K163">
        <v>0.05</v>
      </c>
      <c r="L163" t="s">
        <v>32</v>
      </c>
      <c r="M163" t="s">
        <v>24</v>
      </c>
      <c r="N163">
        <v>5400</v>
      </c>
      <c r="O163">
        <v>270</v>
      </c>
      <c r="P163">
        <v>5130</v>
      </c>
      <c r="Q163">
        <f t="shared" si="6"/>
        <v>2025</v>
      </c>
      <c r="R163">
        <f t="shared" si="7"/>
        <v>5</v>
      </c>
      <c r="S163" t="str">
        <f t="shared" si="8"/>
        <v>May</v>
      </c>
    </row>
    <row r="164" spans="1:19">
      <c r="A164" t="s">
        <v>342</v>
      </c>
      <c r="B164" s="2">
        <v>45783</v>
      </c>
      <c r="C164" t="s">
        <v>245</v>
      </c>
      <c r="D164" t="s">
        <v>127</v>
      </c>
      <c r="E164" t="s">
        <v>37</v>
      </c>
      <c r="F164" t="s">
        <v>90</v>
      </c>
      <c r="G164" t="s">
        <v>57</v>
      </c>
      <c r="H164" t="s">
        <v>142</v>
      </c>
      <c r="I164">
        <v>5</v>
      </c>
      <c r="J164">
        <v>900</v>
      </c>
      <c r="K164">
        <v>0.05</v>
      </c>
      <c r="L164" t="s">
        <v>50</v>
      </c>
      <c r="M164" t="s">
        <v>45</v>
      </c>
      <c r="N164">
        <v>4500</v>
      </c>
      <c r="O164">
        <v>225</v>
      </c>
      <c r="P164">
        <v>4275</v>
      </c>
      <c r="Q164">
        <f t="shared" si="6"/>
        <v>2025</v>
      </c>
      <c r="R164">
        <f t="shared" si="7"/>
        <v>5</v>
      </c>
      <c r="S164" t="str">
        <f t="shared" si="8"/>
        <v>May</v>
      </c>
    </row>
    <row r="165" spans="1:19">
      <c r="A165" t="s">
        <v>343</v>
      </c>
      <c r="B165" s="2">
        <v>45783</v>
      </c>
      <c r="C165" t="s">
        <v>68</v>
      </c>
      <c r="D165" t="s">
        <v>36</v>
      </c>
      <c r="E165" t="s">
        <v>55</v>
      </c>
      <c r="F165" t="s">
        <v>154</v>
      </c>
      <c r="G165" t="s">
        <v>57</v>
      </c>
      <c r="H165" t="s">
        <v>75</v>
      </c>
      <c r="I165">
        <v>2</v>
      </c>
      <c r="J165">
        <v>9500</v>
      </c>
      <c r="K165">
        <v>0.1</v>
      </c>
      <c r="L165" t="s">
        <v>44</v>
      </c>
      <c r="M165" t="s">
        <v>45</v>
      </c>
      <c r="N165">
        <v>19000</v>
      </c>
      <c r="O165">
        <v>1900</v>
      </c>
      <c r="P165">
        <v>17100</v>
      </c>
      <c r="Q165">
        <f t="shared" si="6"/>
        <v>2025</v>
      </c>
      <c r="R165">
        <f t="shared" si="7"/>
        <v>5</v>
      </c>
      <c r="S165" t="str">
        <f t="shared" si="8"/>
        <v>May</v>
      </c>
    </row>
    <row r="166" spans="1:19">
      <c r="A166" t="s">
        <v>344</v>
      </c>
      <c r="B166" s="2">
        <v>45785</v>
      </c>
      <c r="C166" t="s">
        <v>345</v>
      </c>
      <c r="D166" t="s">
        <v>42</v>
      </c>
      <c r="E166" t="s">
        <v>37</v>
      </c>
      <c r="F166" t="s">
        <v>90</v>
      </c>
      <c r="G166" t="s">
        <v>30</v>
      </c>
      <c r="H166" t="s">
        <v>49</v>
      </c>
      <c r="I166">
        <v>1</v>
      </c>
      <c r="J166">
        <v>900</v>
      </c>
      <c r="K166">
        <v>0.05</v>
      </c>
      <c r="L166" t="s">
        <v>50</v>
      </c>
      <c r="M166" t="s">
        <v>24</v>
      </c>
      <c r="N166">
        <v>900</v>
      </c>
      <c r="O166">
        <v>45</v>
      </c>
      <c r="P166">
        <v>855</v>
      </c>
      <c r="Q166">
        <f t="shared" si="6"/>
        <v>2025</v>
      </c>
      <c r="R166">
        <f t="shared" si="7"/>
        <v>5</v>
      </c>
      <c r="S166" t="str">
        <f t="shared" si="8"/>
        <v>May</v>
      </c>
    </row>
    <row r="167" spans="1:19">
      <c r="A167" t="s">
        <v>346</v>
      </c>
      <c r="B167" s="2">
        <v>45785</v>
      </c>
      <c r="C167" t="s">
        <v>138</v>
      </c>
      <c r="D167" t="s">
        <v>102</v>
      </c>
      <c r="E167" t="s">
        <v>28</v>
      </c>
      <c r="F167" t="s">
        <v>130</v>
      </c>
      <c r="G167" t="s">
        <v>21</v>
      </c>
      <c r="H167" t="s">
        <v>22</v>
      </c>
      <c r="I167">
        <v>4</v>
      </c>
      <c r="J167">
        <v>2200</v>
      </c>
      <c r="K167">
        <v>0.15</v>
      </c>
      <c r="L167" t="s">
        <v>23</v>
      </c>
      <c r="M167" t="s">
        <v>112</v>
      </c>
      <c r="N167">
        <v>8800</v>
      </c>
      <c r="O167">
        <v>1320</v>
      </c>
      <c r="P167">
        <v>7480</v>
      </c>
      <c r="Q167">
        <f t="shared" si="6"/>
        <v>2025</v>
      </c>
      <c r="R167">
        <f t="shared" si="7"/>
        <v>5</v>
      </c>
      <c r="S167" t="str">
        <f t="shared" si="8"/>
        <v>May</v>
      </c>
    </row>
    <row r="168" spans="1:19">
      <c r="A168" t="s">
        <v>347</v>
      </c>
      <c r="B168" s="2">
        <v>45787</v>
      </c>
      <c r="C168" t="s">
        <v>114</v>
      </c>
      <c r="D168" t="s">
        <v>120</v>
      </c>
      <c r="E168" t="s">
        <v>62</v>
      </c>
      <c r="F168" t="s">
        <v>94</v>
      </c>
      <c r="G168" t="s">
        <v>21</v>
      </c>
      <c r="H168" t="s">
        <v>83</v>
      </c>
      <c r="I168">
        <v>5</v>
      </c>
      <c r="J168">
        <v>120</v>
      </c>
      <c r="K168">
        <v>0</v>
      </c>
      <c r="L168" t="s">
        <v>50</v>
      </c>
      <c r="M168" t="s">
        <v>45</v>
      </c>
      <c r="N168">
        <v>600</v>
      </c>
      <c r="O168">
        <v>0</v>
      </c>
      <c r="P168">
        <v>600</v>
      </c>
      <c r="Q168">
        <f t="shared" si="6"/>
        <v>2025</v>
      </c>
      <c r="R168">
        <f t="shared" si="7"/>
        <v>5</v>
      </c>
      <c r="S168" t="str">
        <f t="shared" si="8"/>
        <v>May</v>
      </c>
    </row>
    <row r="169" spans="1:19">
      <c r="A169" t="s">
        <v>348</v>
      </c>
      <c r="B169" s="2">
        <v>45788</v>
      </c>
      <c r="C169" t="s">
        <v>349</v>
      </c>
      <c r="D169" t="s">
        <v>42</v>
      </c>
      <c r="E169" t="s">
        <v>28</v>
      </c>
      <c r="F169" t="s">
        <v>29</v>
      </c>
      <c r="G169" t="s">
        <v>30</v>
      </c>
      <c r="H169" t="s">
        <v>49</v>
      </c>
      <c r="I169">
        <v>5</v>
      </c>
      <c r="J169">
        <v>4000</v>
      </c>
      <c r="K169">
        <v>0</v>
      </c>
      <c r="L169" t="s">
        <v>44</v>
      </c>
      <c r="M169" t="s">
        <v>45</v>
      </c>
      <c r="N169">
        <v>20000</v>
      </c>
      <c r="O169">
        <v>0</v>
      </c>
      <c r="P169">
        <v>20000</v>
      </c>
      <c r="Q169">
        <f t="shared" si="6"/>
        <v>2025</v>
      </c>
      <c r="R169">
        <f t="shared" si="7"/>
        <v>5</v>
      </c>
      <c r="S169" t="str">
        <f t="shared" si="8"/>
        <v>May</v>
      </c>
    </row>
    <row r="170" spans="1:19">
      <c r="A170" t="s">
        <v>350</v>
      </c>
      <c r="B170" s="2">
        <v>45788</v>
      </c>
      <c r="C170" t="s">
        <v>26</v>
      </c>
      <c r="D170" t="s">
        <v>54</v>
      </c>
      <c r="E170" t="s">
        <v>62</v>
      </c>
      <c r="F170" t="s">
        <v>169</v>
      </c>
      <c r="G170" t="s">
        <v>71</v>
      </c>
      <c r="H170" t="s">
        <v>72</v>
      </c>
      <c r="I170">
        <v>3</v>
      </c>
      <c r="J170">
        <v>1200</v>
      </c>
      <c r="K170">
        <v>0.1</v>
      </c>
      <c r="L170" t="s">
        <v>32</v>
      </c>
      <c r="M170" t="s">
        <v>51</v>
      </c>
      <c r="N170">
        <v>3600</v>
      </c>
      <c r="O170">
        <v>360</v>
      </c>
      <c r="P170">
        <v>3240</v>
      </c>
      <c r="Q170">
        <f t="shared" si="6"/>
        <v>2025</v>
      </c>
      <c r="R170">
        <f t="shared" si="7"/>
        <v>5</v>
      </c>
      <c r="S170" t="str">
        <f t="shared" si="8"/>
        <v>May</v>
      </c>
    </row>
    <row r="171" spans="1:19">
      <c r="A171" t="s">
        <v>351</v>
      </c>
      <c r="B171" s="2">
        <v>45788</v>
      </c>
      <c r="C171" t="s">
        <v>165</v>
      </c>
      <c r="D171" t="s">
        <v>115</v>
      </c>
      <c r="E171" t="s">
        <v>37</v>
      </c>
      <c r="F171" t="s">
        <v>196</v>
      </c>
      <c r="G171" t="s">
        <v>71</v>
      </c>
      <c r="H171" t="s">
        <v>72</v>
      </c>
      <c r="I171">
        <v>4</v>
      </c>
      <c r="J171">
        <v>2500</v>
      </c>
      <c r="K171">
        <v>0.05</v>
      </c>
      <c r="L171" t="s">
        <v>32</v>
      </c>
      <c r="M171" t="s">
        <v>112</v>
      </c>
      <c r="N171">
        <v>10000</v>
      </c>
      <c r="O171">
        <v>500</v>
      </c>
      <c r="P171">
        <v>9500</v>
      </c>
      <c r="Q171">
        <f t="shared" si="6"/>
        <v>2025</v>
      </c>
      <c r="R171">
        <f t="shared" si="7"/>
        <v>5</v>
      </c>
      <c r="S171" t="str">
        <f t="shared" si="8"/>
        <v>May</v>
      </c>
    </row>
    <row r="172" spans="1:19">
      <c r="A172" t="s">
        <v>352</v>
      </c>
      <c r="B172" s="2">
        <v>45788</v>
      </c>
      <c r="C172" t="s">
        <v>134</v>
      </c>
      <c r="D172" t="s">
        <v>127</v>
      </c>
      <c r="E172" t="s">
        <v>62</v>
      </c>
      <c r="F172" t="s">
        <v>293</v>
      </c>
      <c r="G172" t="s">
        <v>21</v>
      </c>
      <c r="H172" t="s">
        <v>181</v>
      </c>
      <c r="I172">
        <v>5</v>
      </c>
      <c r="J172">
        <v>500</v>
      </c>
      <c r="K172">
        <v>0</v>
      </c>
      <c r="L172" t="s">
        <v>32</v>
      </c>
      <c r="M172" t="s">
        <v>51</v>
      </c>
      <c r="N172">
        <v>2500</v>
      </c>
      <c r="O172">
        <v>0</v>
      </c>
      <c r="P172">
        <v>2500</v>
      </c>
      <c r="Q172">
        <f t="shared" si="6"/>
        <v>2025</v>
      </c>
      <c r="R172">
        <f t="shared" si="7"/>
        <v>5</v>
      </c>
      <c r="S172" t="str">
        <f t="shared" si="8"/>
        <v>May</v>
      </c>
    </row>
    <row r="173" spans="1:19">
      <c r="A173" t="s">
        <v>353</v>
      </c>
      <c r="B173" s="2">
        <v>45788</v>
      </c>
      <c r="C173" t="s">
        <v>101</v>
      </c>
      <c r="D173" t="s">
        <v>127</v>
      </c>
      <c r="E173" t="s">
        <v>37</v>
      </c>
      <c r="F173" t="s">
        <v>196</v>
      </c>
      <c r="G173" t="s">
        <v>21</v>
      </c>
      <c r="H173" t="s">
        <v>22</v>
      </c>
      <c r="I173">
        <v>5</v>
      </c>
      <c r="J173">
        <v>2500</v>
      </c>
      <c r="K173">
        <v>0</v>
      </c>
      <c r="L173" t="s">
        <v>44</v>
      </c>
      <c r="M173" t="s">
        <v>39</v>
      </c>
      <c r="N173">
        <v>12500</v>
      </c>
      <c r="O173">
        <v>0</v>
      </c>
      <c r="P173">
        <v>12500</v>
      </c>
      <c r="Q173">
        <f t="shared" si="6"/>
        <v>2025</v>
      </c>
      <c r="R173">
        <f t="shared" si="7"/>
        <v>5</v>
      </c>
      <c r="S173" t="str">
        <f t="shared" si="8"/>
        <v>May</v>
      </c>
    </row>
    <row r="174" spans="1:19">
      <c r="A174" t="s">
        <v>354</v>
      </c>
      <c r="B174" s="2">
        <v>45789</v>
      </c>
      <c r="C174" t="s">
        <v>355</v>
      </c>
      <c r="D174" t="s">
        <v>228</v>
      </c>
      <c r="E174" t="s">
        <v>55</v>
      </c>
      <c r="F174" t="s">
        <v>150</v>
      </c>
      <c r="G174" t="s">
        <v>21</v>
      </c>
      <c r="H174" t="s">
        <v>22</v>
      </c>
      <c r="I174">
        <v>5</v>
      </c>
      <c r="J174">
        <v>4500</v>
      </c>
      <c r="K174">
        <v>0.05</v>
      </c>
      <c r="L174" t="s">
        <v>32</v>
      </c>
      <c r="M174" t="s">
        <v>91</v>
      </c>
      <c r="N174">
        <v>22500</v>
      </c>
      <c r="O174">
        <v>1125</v>
      </c>
      <c r="P174">
        <v>21375</v>
      </c>
      <c r="Q174">
        <f t="shared" si="6"/>
        <v>2025</v>
      </c>
      <c r="R174">
        <f t="shared" si="7"/>
        <v>5</v>
      </c>
      <c r="S174" t="str">
        <f t="shared" si="8"/>
        <v>May</v>
      </c>
    </row>
    <row r="175" spans="1:19">
      <c r="A175" t="s">
        <v>356</v>
      </c>
      <c r="B175" s="2">
        <v>45789</v>
      </c>
      <c r="C175" t="s">
        <v>114</v>
      </c>
      <c r="D175" t="s">
        <v>74</v>
      </c>
      <c r="E175" t="s">
        <v>37</v>
      </c>
      <c r="F175" t="s">
        <v>196</v>
      </c>
      <c r="G175" t="s">
        <v>57</v>
      </c>
      <c r="H175" t="s">
        <v>58</v>
      </c>
      <c r="I175">
        <v>3</v>
      </c>
      <c r="J175">
        <v>2500</v>
      </c>
      <c r="K175">
        <v>0.1</v>
      </c>
      <c r="L175" t="s">
        <v>50</v>
      </c>
      <c r="M175" t="s">
        <v>91</v>
      </c>
      <c r="N175">
        <v>7500</v>
      </c>
      <c r="O175">
        <v>750</v>
      </c>
      <c r="P175">
        <v>6750</v>
      </c>
      <c r="Q175">
        <f t="shared" si="6"/>
        <v>2025</v>
      </c>
      <c r="R175">
        <f t="shared" si="7"/>
        <v>5</v>
      </c>
      <c r="S175" t="str">
        <f t="shared" si="8"/>
        <v>May</v>
      </c>
    </row>
    <row r="176" spans="1:19">
      <c r="A176" t="s">
        <v>357</v>
      </c>
      <c r="B176" s="2">
        <v>45789</v>
      </c>
      <c r="C176" t="s">
        <v>147</v>
      </c>
      <c r="D176" t="s">
        <v>42</v>
      </c>
      <c r="E176" t="s">
        <v>37</v>
      </c>
      <c r="F176" t="s">
        <v>43</v>
      </c>
      <c r="G176" t="s">
        <v>71</v>
      </c>
      <c r="H176" t="s">
        <v>99</v>
      </c>
      <c r="I176">
        <v>2</v>
      </c>
      <c r="J176">
        <v>1800</v>
      </c>
      <c r="K176">
        <v>0.1</v>
      </c>
      <c r="L176" t="s">
        <v>23</v>
      </c>
      <c r="M176" t="s">
        <v>107</v>
      </c>
      <c r="N176">
        <v>3600</v>
      </c>
      <c r="O176">
        <v>360</v>
      </c>
      <c r="P176">
        <v>3240</v>
      </c>
      <c r="Q176">
        <f t="shared" si="6"/>
        <v>2025</v>
      </c>
      <c r="R176">
        <f t="shared" si="7"/>
        <v>5</v>
      </c>
      <c r="S176" t="str">
        <f t="shared" si="8"/>
        <v>May</v>
      </c>
    </row>
    <row r="177" spans="1:19">
      <c r="A177" t="s">
        <v>358</v>
      </c>
      <c r="B177" s="2">
        <v>45790</v>
      </c>
      <c r="C177" t="s">
        <v>85</v>
      </c>
      <c r="D177" t="s">
        <v>54</v>
      </c>
      <c r="E177" t="s">
        <v>62</v>
      </c>
      <c r="F177" t="s">
        <v>169</v>
      </c>
      <c r="G177" t="s">
        <v>21</v>
      </c>
      <c r="H177" t="s">
        <v>185</v>
      </c>
      <c r="I177">
        <v>3</v>
      </c>
      <c r="J177">
        <v>1200</v>
      </c>
      <c r="K177">
        <v>0.1</v>
      </c>
      <c r="L177" t="s">
        <v>50</v>
      </c>
      <c r="M177" t="s">
        <v>51</v>
      </c>
      <c r="N177">
        <v>3600</v>
      </c>
      <c r="O177">
        <v>360</v>
      </c>
      <c r="P177">
        <v>3240</v>
      </c>
      <c r="Q177">
        <f t="shared" si="6"/>
        <v>2025</v>
      </c>
      <c r="R177">
        <f t="shared" si="7"/>
        <v>5</v>
      </c>
      <c r="S177" t="str">
        <f t="shared" si="8"/>
        <v>May</v>
      </c>
    </row>
    <row r="178" spans="1:19">
      <c r="A178" t="s">
        <v>359</v>
      </c>
      <c r="B178" s="2">
        <v>45790</v>
      </c>
      <c r="C178" t="s">
        <v>360</v>
      </c>
      <c r="D178" t="s">
        <v>135</v>
      </c>
      <c r="E178" t="s">
        <v>55</v>
      </c>
      <c r="F178" t="s">
        <v>150</v>
      </c>
      <c r="G178" t="s">
        <v>30</v>
      </c>
      <c r="H178" t="s">
        <v>125</v>
      </c>
      <c r="I178">
        <v>3</v>
      </c>
      <c r="J178">
        <v>4500</v>
      </c>
      <c r="K178">
        <v>0</v>
      </c>
      <c r="L178" t="s">
        <v>44</v>
      </c>
      <c r="M178" t="s">
        <v>107</v>
      </c>
      <c r="N178">
        <v>13500</v>
      </c>
      <c r="O178">
        <v>0</v>
      </c>
      <c r="P178">
        <v>13500</v>
      </c>
      <c r="Q178">
        <f t="shared" si="6"/>
        <v>2025</v>
      </c>
      <c r="R178">
        <f t="shared" si="7"/>
        <v>5</v>
      </c>
      <c r="S178" t="str">
        <f t="shared" si="8"/>
        <v>May</v>
      </c>
    </row>
    <row r="179" spans="1:19">
      <c r="A179" t="s">
        <v>361</v>
      </c>
      <c r="B179" s="2">
        <v>45791</v>
      </c>
      <c r="C179" t="s">
        <v>345</v>
      </c>
      <c r="D179" t="s">
        <v>27</v>
      </c>
      <c r="E179" t="s">
        <v>19</v>
      </c>
      <c r="F179" t="s">
        <v>70</v>
      </c>
      <c r="G179" t="s">
        <v>30</v>
      </c>
      <c r="H179" t="s">
        <v>125</v>
      </c>
      <c r="I179">
        <v>5</v>
      </c>
      <c r="J179">
        <v>6500</v>
      </c>
      <c r="K179">
        <v>0.1</v>
      </c>
      <c r="L179" t="s">
        <v>44</v>
      </c>
      <c r="M179" t="s">
        <v>112</v>
      </c>
      <c r="N179">
        <v>32500</v>
      </c>
      <c r="O179">
        <v>3250</v>
      </c>
      <c r="P179">
        <v>29250</v>
      </c>
      <c r="Q179">
        <f t="shared" si="6"/>
        <v>2025</v>
      </c>
      <c r="R179">
        <f t="shared" si="7"/>
        <v>5</v>
      </c>
      <c r="S179" t="str">
        <f t="shared" si="8"/>
        <v>May</v>
      </c>
    </row>
    <row r="180" spans="1:19">
      <c r="A180" t="s">
        <v>362</v>
      </c>
      <c r="B180" s="2">
        <v>45791</v>
      </c>
      <c r="C180" t="s">
        <v>223</v>
      </c>
      <c r="D180" t="s">
        <v>153</v>
      </c>
      <c r="E180" t="s">
        <v>62</v>
      </c>
      <c r="F180" t="s">
        <v>78</v>
      </c>
      <c r="G180" t="s">
        <v>21</v>
      </c>
      <c r="H180" t="s">
        <v>22</v>
      </c>
      <c r="I180">
        <v>3</v>
      </c>
      <c r="J180">
        <v>250</v>
      </c>
      <c r="K180">
        <v>0.1</v>
      </c>
      <c r="L180" t="s">
        <v>50</v>
      </c>
      <c r="M180" t="s">
        <v>24</v>
      </c>
      <c r="N180">
        <v>750</v>
      </c>
      <c r="O180">
        <v>75</v>
      </c>
      <c r="P180">
        <v>675</v>
      </c>
      <c r="Q180">
        <f t="shared" si="6"/>
        <v>2025</v>
      </c>
      <c r="R180">
        <f t="shared" si="7"/>
        <v>5</v>
      </c>
      <c r="S180" t="str">
        <f t="shared" si="8"/>
        <v>May</v>
      </c>
    </row>
    <row r="181" spans="1:19">
      <c r="A181" t="s">
        <v>363</v>
      </c>
      <c r="B181" s="2">
        <v>45791</v>
      </c>
      <c r="C181" t="s">
        <v>77</v>
      </c>
      <c r="D181" t="s">
        <v>106</v>
      </c>
      <c r="E181" t="s">
        <v>19</v>
      </c>
      <c r="F181" t="s">
        <v>48</v>
      </c>
      <c r="G181" t="s">
        <v>30</v>
      </c>
      <c r="H181" t="s">
        <v>103</v>
      </c>
      <c r="I181">
        <v>1</v>
      </c>
      <c r="J181">
        <v>7500</v>
      </c>
      <c r="K181">
        <v>0</v>
      </c>
      <c r="L181" t="s">
        <v>32</v>
      </c>
      <c r="M181" t="s">
        <v>39</v>
      </c>
      <c r="N181">
        <v>7500</v>
      </c>
      <c r="O181">
        <v>0</v>
      </c>
      <c r="P181">
        <v>7500</v>
      </c>
      <c r="Q181">
        <f t="shared" si="6"/>
        <v>2025</v>
      </c>
      <c r="R181">
        <f t="shared" si="7"/>
        <v>5</v>
      </c>
      <c r="S181" t="str">
        <f t="shared" si="8"/>
        <v>May</v>
      </c>
    </row>
    <row r="182" spans="1:19">
      <c r="A182" t="s">
        <v>364</v>
      </c>
      <c r="B182" s="2">
        <v>45791</v>
      </c>
      <c r="C182" t="s">
        <v>252</v>
      </c>
      <c r="D182" t="s">
        <v>86</v>
      </c>
      <c r="E182" t="s">
        <v>28</v>
      </c>
      <c r="F182" t="s">
        <v>29</v>
      </c>
      <c r="G182" t="s">
        <v>71</v>
      </c>
      <c r="H182" t="s">
        <v>128</v>
      </c>
      <c r="I182">
        <v>2</v>
      </c>
      <c r="J182">
        <v>4000</v>
      </c>
      <c r="K182">
        <v>0.05</v>
      </c>
      <c r="L182" t="s">
        <v>44</v>
      </c>
      <c r="M182" t="s">
        <v>24</v>
      </c>
      <c r="N182">
        <v>8000</v>
      </c>
      <c r="O182">
        <v>400</v>
      </c>
      <c r="P182">
        <v>7600</v>
      </c>
      <c r="Q182">
        <f t="shared" si="6"/>
        <v>2025</v>
      </c>
      <c r="R182">
        <f t="shared" si="7"/>
        <v>5</v>
      </c>
      <c r="S182" t="str">
        <f t="shared" si="8"/>
        <v>May</v>
      </c>
    </row>
    <row r="183" spans="1:19">
      <c r="A183" t="s">
        <v>365</v>
      </c>
      <c r="B183" s="2">
        <v>45791</v>
      </c>
      <c r="C183" t="s">
        <v>238</v>
      </c>
      <c r="D183" t="s">
        <v>106</v>
      </c>
      <c r="E183" t="s">
        <v>62</v>
      </c>
      <c r="F183" t="s">
        <v>94</v>
      </c>
      <c r="G183" t="s">
        <v>71</v>
      </c>
      <c r="H183" t="s">
        <v>187</v>
      </c>
      <c r="I183">
        <v>4</v>
      </c>
      <c r="J183">
        <v>120</v>
      </c>
      <c r="K183">
        <v>0.1</v>
      </c>
      <c r="L183" t="s">
        <v>32</v>
      </c>
      <c r="M183" t="s">
        <v>45</v>
      </c>
      <c r="N183">
        <v>480</v>
      </c>
      <c r="O183">
        <v>48</v>
      </c>
      <c r="P183">
        <v>432</v>
      </c>
      <c r="Q183">
        <f t="shared" si="6"/>
        <v>2025</v>
      </c>
      <c r="R183">
        <f t="shared" si="7"/>
        <v>5</v>
      </c>
      <c r="S183" t="str">
        <f t="shared" si="8"/>
        <v>May</v>
      </c>
    </row>
    <row r="184" spans="1:19">
      <c r="A184" t="s">
        <v>366</v>
      </c>
      <c r="B184" s="2">
        <v>45793</v>
      </c>
      <c r="C184" t="s">
        <v>262</v>
      </c>
      <c r="D184" t="s">
        <v>89</v>
      </c>
      <c r="E184" t="s">
        <v>55</v>
      </c>
      <c r="F184" t="s">
        <v>150</v>
      </c>
      <c r="G184" t="s">
        <v>30</v>
      </c>
      <c r="H184" t="s">
        <v>125</v>
      </c>
      <c r="I184">
        <v>1</v>
      </c>
      <c r="J184">
        <v>4500</v>
      </c>
      <c r="K184">
        <v>0.1</v>
      </c>
      <c r="L184" t="s">
        <v>50</v>
      </c>
      <c r="M184" t="s">
        <v>112</v>
      </c>
      <c r="N184">
        <v>4500</v>
      </c>
      <c r="O184">
        <v>450</v>
      </c>
      <c r="P184">
        <v>4050</v>
      </c>
      <c r="Q184">
        <f t="shared" si="6"/>
        <v>2025</v>
      </c>
      <c r="R184">
        <f t="shared" si="7"/>
        <v>5</v>
      </c>
      <c r="S184" t="str">
        <f t="shared" si="8"/>
        <v>May</v>
      </c>
    </row>
    <row r="185" spans="1:19">
      <c r="A185" t="s">
        <v>367</v>
      </c>
      <c r="B185" s="2">
        <v>45794</v>
      </c>
      <c r="C185" t="s">
        <v>275</v>
      </c>
      <c r="D185" t="s">
        <v>127</v>
      </c>
      <c r="E185" t="s">
        <v>28</v>
      </c>
      <c r="F185" t="s">
        <v>130</v>
      </c>
      <c r="G185" t="s">
        <v>71</v>
      </c>
      <c r="H185" t="s">
        <v>128</v>
      </c>
      <c r="I185">
        <v>4</v>
      </c>
      <c r="J185">
        <v>2200</v>
      </c>
      <c r="K185">
        <v>0.05</v>
      </c>
      <c r="L185" t="s">
        <v>32</v>
      </c>
      <c r="M185" t="s">
        <v>112</v>
      </c>
      <c r="N185">
        <v>8800</v>
      </c>
      <c r="O185">
        <v>440</v>
      </c>
      <c r="P185">
        <v>8360</v>
      </c>
      <c r="Q185">
        <f t="shared" si="6"/>
        <v>2025</v>
      </c>
      <c r="R185">
        <f t="shared" si="7"/>
        <v>5</v>
      </c>
      <c r="S185" t="str">
        <f t="shared" si="8"/>
        <v>May</v>
      </c>
    </row>
    <row r="186" spans="1:19">
      <c r="A186" t="s">
        <v>368</v>
      </c>
      <c r="B186" s="2">
        <v>45795</v>
      </c>
      <c r="C186" t="s">
        <v>315</v>
      </c>
      <c r="D186" t="s">
        <v>228</v>
      </c>
      <c r="E186" t="s">
        <v>37</v>
      </c>
      <c r="F186" t="s">
        <v>43</v>
      </c>
      <c r="G186" t="s">
        <v>71</v>
      </c>
      <c r="H186" t="s">
        <v>187</v>
      </c>
      <c r="I186">
        <v>1</v>
      </c>
      <c r="J186">
        <v>1800</v>
      </c>
      <c r="K186">
        <v>0.05</v>
      </c>
      <c r="L186" t="s">
        <v>32</v>
      </c>
      <c r="M186" t="s">
        <v>24</v>
      </c>
      <c r="N186">
        <v>1800</v>
      </c>
      <c r="O186">
        <v>90</v>
      </c>
      <c r="P186">
        <v>1710</v>
      </c>
      <c r="Q186">
        <f t="shared" si="6"/>
        <v>2025</v>
      </c>
      <c r="R186">
        <f t="shared" si="7"/>
        <v>5</v>
      </c>
      <c r="S186" t="str">
        <f t="shared" si="8"/>
        <v>May</v>
      </c>
    </row>
    <row r="187" spans="1:19">
      <c r="A187" t="s">
        <v>369</v>
      </c>
      <c r="B187" s="2">
        <v>45795</v>
      </c>
      <c r="C187" t="s">
        <v>109</v>
      </c>
      <c r="D187" t="s">
        <v>36</v>
      </c>
      <c r="E187" t="s">
        <v>19</v>
      </c>
      <c r="F187" t="s">
        <v>20</v>
      </c>
      <c r="G187" t="s">
        <v>71</v>
      </c>
      <c r="H187" t="s">
        <v>187</v>
      </c>
      <c r="I187">
        <v>5</v>
      </c>
      <c r="J187">
        <v>9000</v>
      </c>
      <c r="K187">
        <v>0.1</v>
      </c>
      <c r="L187" t="s">
        <v>44</v>
      </c>
      <c r="M187" t="s">
        <v>112</v>
      </c>
      <c r="N187">
        <v>45000</v>
      </c>
      <c r="O187">
        <v>4500</v>
      </c>
      <c r="P187">
        <v>40500</v>
      </c>
      <c r="Q187">
        <f t="shared" si="6"/>
        <v>2025</v>
      </c>
      <c r="R187">
        <f t="shared" si="7"/>
        <v>5</v>
      </c>
      <c r="S187" t="str">
        <f t="shared" si="8"/>
        <v>May</v>
      </c>
    </row>
    <row r="188" spans="1:19">
      <c r="A188" t="s">
        <v>370</v>
      </c>
      <c r="B188" s="2">
        <v>45795</v>
      </c>
      <c r="C188" t="s">
        <v>333</v>
      </c>
      <c r="D188" t="s">
        <v>74</v>
      </c>
      <c r="E188" t="s">
        <v>37</v>
      </c>
      <c r="F188" t="s">
        <v>166</v>
      </c>
      <c r="G188" t="s">
        <v>57</v>
      </c>
      <c r="H188" t="s">
        <v>58</v>
      </c>
      <c r="I188">
        <v>3</v>
      </c>
      <c r="J188">
        <v>15000</v>
      </c>
      <c r="K188">
        <v>0.05</v>
      </c>
      <c r="L188" t="s">
        <v>32</v>
      </c>
      <c r="M188" t="s">
        <v>39</v>
      </c>
      <c r="N188">
        <v>45000</v>
      </c>
      <c r="O188">
        <v>2250</v>
      </c>
      <c r="P188">
        <v>42750</v>
      </c>
      <c r="Q188">
        <f t="shared" si="6"/>
        <v>2025</v>
      </c>
      <c r="R188">
        <f t="shared" si="7"/>
        <v>5</v>
      </c>
      <c r="S188" t="str">
        <f t="shared" si="8"/>
        <v>May</v>
      </c>
    </row>
    <row r="189" spans="1:19">
      <c r="A189" t="s">
        <v>371</v>
      </c>
      <c r="B189" s="2">
        <v>45797</v>
      </c>
      <c r="C189" t="s">
        <v>372</v>
      </c>
      <c r="D189" t="s">
        <v>135</v>
      </c>
      <c r="E189" t="s">
        <v>28</v>
      </c>
      <c r="F189" t="s">
        <v>148</v>
      </c>
      <c r="G189" t="s">
        <v>71</v>
      </c>
      <c r="H189" t="s">
        <v>128</v>
      </c>
      <c r="I189">
        <v>2</v>
      </c>
      <c r="J189">
        <v>1800</v>
      </c>
      <c r="K189">
        <v>0.1</v>
      </c>
      <c r="L189" t="s">
        <v>44</v>
      </c>
      <c r="M189" t="s">
        <v>24</v>
      </c>
      <c r="N189">
        <v>3600</v>
      </c>
      <c r="O189">
        <v>360</v>
      </c>
      <c r="P189">
        <v>3240</v>
      </c>
      <c r="Q189">
        <f t="shared" si="6"/>
        <v>2025</v>
      </c>
      <c r="R189">
        <f t="shared" si="7"/>
        <v>5</v>
      </c>
      <c r="S189" t="str">
        <f t="shared" si="8"/>
        <v>May</v>
      </c>
    </row>
    <row r="190" spans="1:19">
      <c r="A190" t="s">
        <v>373</v>
      </c>
      <c r="B190" s="2">
        <v>45798</v>
      </c>
      <c r="C190" t="s">
        <v>339</v>
      </c>
      <c r="D190" t="s">
        <v>228</v>
      </c>
      <c r="E190" t="s">
        <v>37</v>
      </c>
      <c r="F190" t="s">
        <v>196</v>
      </c>
      <c r="G190" t="s">
        <v>30</v>
      </c>
      <c r="H190" t="s">
        <v>49</v>
      </c>
      <c r="I190">
        <v>5</v>
      </c>
      <c r="J190">
        <v>2500</v>
      </c>
      <c r="K190">
        <v>0.05</v>
      </c>
      <c r="L190" t="s">
        <v>44</v>
      </c>
      <c r="M190" t="s">
        <v>112</v>
      </c>
      <c r="N190">
        <v>12500</v>
      </c>
      <c r="O190">
        <v>625</v>
      </c>
      <c r="P190">
        <v>11875</v>
      </c>
      <c r="Q190">
        <f t="shared" si="6"/>
        <v>2025</v>
      </c>
      <c r="R190">
        <f t="shared" si="7"/>
        <v>5</v>
      </c>
      <c r="S190" t="str">
        <f t="shared" si="8"/>
        <v>May</v>
      </c>
    </row>
    <row r="191" spans="1:19">
      <c r="A191" t="s">
        <v>374</v>
      </c>
      <c r="B191" s="2">
        <v>45798</v>
      </c>
      <c r="C191" t="s">
        <v>345</v>
      </c>
      <c r="D191" t="s">
        <v>123</v>
      </c>
      <c r="E191" t="s">
        <v>37</v>
      </c>
      <c r="F191" t="s">
        <v>166</v>
      </c>
      <c r="G191" t="s">
        <v>57</v>
      </c>
      <c r="H191" t="s">
        <v>142</v>
      </c>
      <c r="I191">
        <v>3</v>
      </c>
      <c r="J191">
        <v>15000</v>
      </c>
      <c r="K191">
        <v>0.1</v>
      </c>
      <c r="L191" t="s">
        <v>50</v>
      </c>
      <c r="M191" t="s">
        <v>107</v>
      </c>
      <c r="N191">
        <v>45000</v>
      </c>
      <c r="O191">
        <v>4500</v>
      </c>
      <c r="P191">
        <v>40500</v>
      </c>
      <c r="Q191">
        <f t="shared" si="6"/>
        <v>2025</v>
      </c>
      <c r="R191">
        <f t="shared" si="7"/>
        <v>5</v>
      </c>
      <c r="S191" t="str">
        <f t="shared" si="8"/>
        <v>May</v>
      </c>
    </row>
    <row r="192" spans="1:19">
      <c r="A192" t="s">
        <v>375</v>
      </c>
      <c r="B192" s="2">
        <v>45799</v>
      </c>
      <c r="C192" t="s">
        <v>240</v>
      </c>
      <c r="D192" t="s">
        <v>127</v>
      </c>
      <c r="E192" t="s">
        <v>19</v>
      </c>
      <c r="F192" t="s">
        <v>124</v>
      </c>
      <c r="G192" t="s">
        <v>30</v>
      </c>
      <c r="H192" t="s">
        <v>103</v>
      </c>
      <c r="I192">
        <v>1</v>
      </c>
      <c r="J192">
        <v>7000</v>
      </c>
      <c r="K192">
        <v>0.05</v>
      </c>
      <c r="L192" t="s">
        <v>32</v>
      </c>
      <c r="M192" t="s">
        <v>51</v>
      </c>
      <c r="N192">
        <v>7000</v>
      </c>
      <c r="O192">
        <v>350</v>
      </c>
      <c r="P192">
        <v>6650</v>
      </c>
      <c r="Q192">
        <f t="shared" si="6"/>
        <v>2025</v>
      </c>
      <c r="R192">
        <f t="shared" si="7"/>
        <v>5</v>
      </c>
      <c r="S192" t="str">
        <f t="shared" si="8"/>
        <v>May</v>
      </c>
    </row>
    <row r="193" spans="1:19">
      <c r="A193" t="s">
        <v>376</v>
      </c>
      <c r="B193" s="2">
        <v>45799</v>
      </c>
      <c r="C193" t="s">
        <v>68</v>
      </c>
      <c r="D193" t="s">
        <v>61</v>
      </c>
      <c r="E193" t="s">
        <v>28</v>
      </c>
      <c r="F193" t="s">
        <v>29</v>
      </c>
      <c r="G193" t="s">
        <v>21</v>
      </c>
      <c r="H193" t="s">
        <v>83</v>
      </c>
      <c r="I193">
        <v>5</v>
      </c>
      <c r="J193">
        <v>4000</v>
      </c>
      <c r="K193">
        <v>0</v>
      </c>
      <c r="L193" t="s">
        <v>44</v>
      </c>
      <c r="M193" t="s">
        <v>33</v>
      </c>
      <c r="N193">
        <v>20000</v>
      </c>
      <c r="O193">
        <v>0</v>
      </c>
      <c r="P193">
        <v>20000</v>
      </c>
      <c r="Q193">
        <f t="shared" si="6"/>
        <v>2025</v>
      </c>
      <c r="R193">
        <f t="shared" si="7"/>
        <v>5</v>
      </c>
      <c r="S193" t="str">
        <f t="shared" si="8"/>
        <v>May</v>
      </c>
    </row>
    <row r="194" spans="1:19">
      <c r="A194" t="s">
        <v>377</v>
      </c>
      <c r="B194" s="2">
        <v>45800</v>
      </c>
      <c r="C194" t="s">
        <v>232</v>
      </c>
      <c r="D194" t="s">
        <v>61</v>
      </c>
      <c r="E194" t="s">
        <v>62</v>
      </c>
      <c r="F194" t="s">
        <v>78</v>
      </c>
      <c r="G194" t="s">
        <v>71</v>
      </c>
      <c r="H194" t="s">
        <v>128</v>
      </c>
      <c r="I194">
        <v>3</v>
      </c>
      <c r="J194">
        <v>250</v>
      </c>
      <c r="K194">
        <v>0.1</v>
      </c>
      <c r="L194" t="s">
        <v>23</v>
      </c>
      <c r="M194" t="s">
        <v>91</v>
      </c>
      <c r="N194">
        <v>750</v>
      </c>
      <c r="O194">
        <v>75</v>
      </c>
      <c r="P194">
        <v>675</v>
      </c>
      <c r="Q194">
        <f t="shared" si="6"/>
        <v>2025</v>
      </c>
      <c r="R194">
        <f t="shared" si="7"/>
        <v>5</v>
      </c>
      <c r="S194" t="str">
        <f t="shared" si="8"/>
        <v>May</v>
      </c>
    </row>
    <row r="195" spans="1:19">
      <c r="A195" t="s">
        <v>378</v>
      </c>
      <c r="B195" s="2">
        <v>45800</v>
      </c>
      <c r="C195" t="s">
        <v>247</v>
      </c>
      <c r="D195" t="s">
        <v>81</v>
      </c>
      <c r="E195" t="s">
        <v>55</v>
      </c>
      <c r="F195" t="s">
        <v>150</v>
      </c>
      <c r="G195" t="s">
        <v>21</v>
      </c>
      <c r="H195" t="s">
        <v>22</v>
      </c>
      <c r="I195">
        <v>4</v>
      </c>
      <c r="J195">
        <v>4500</v>
      </c>
      <c r="K195">
        <v>0.1</v>
      </c>
      <c r="L195" t="s">
        <v>44</v>
      </c>
      <c r="M195" t="s">
        <v>39</v>
      </c>
      <c r="N195">
        <v>18000</v>
      </c>
      <c r="O195">
        <v>1800</v>
      </c>
      <c r="P195">
        <v>16200</v>
      </c>
      <c r="Q195">
        <f t="shared" ref="Q195:Q258" si="9">YEAR(B195)</f>
        <v>2025</v>
      </c>
      <c r="R195">
        <f t="shared" ref="R195:R258" si="10">MONTH(B195)</f>
        <v>5</v>
      </c>
      <c r="S195" t="str">
        <f t="shared" ref="S195:S258" si="11">TEXT(B195,"mmmm")</f>
        <v>May</v>
      </c>
    </row>
    <row r="196" spans="1:19">
      <c r="A196" t="s">
        <v>379</v>
      </c>
      <c r="B196" s="2">
        <v>45800</v>
      </c>
      <c r="C196" t="s">
        <v>380</v>
      </c>
      <c r="D196" t="s">
        <v>123</v>
      </c>
      <c r="E196" t="s">
        <v>37</v>
      </c>
      <c r="F196" t="s">
        <v>166</v>
      </c>
      <c r="G196" t="s">
        <v>21</v>
      </c>
      <c r="H196" t="s">
        <v>185</v>
      </c>
      <c r="I196">
        <v>1</v>
      </c>
      <c r="J196">
        <v>15000</v>
      </c>
      <c r="K196">
        <v>0</v>
      </c>
      <c r="L196" t="s">
        <v>32</v>
      </c>
      <c r="M196" t="s">
        <v>33</v>
      </c>
      <c r="N196">
        <v>15000</v>
      </c>
      <c r="O196">
        <v>0</v>
      </c>
      <c r="P196">
        <v>15000</v>
      </c>
      <c r="Q196">
        <f t="shared" si="9"/>
        <v>2025</v>
      </c>
      <c r="R196">
        <f t="shared" si="10"/>
        <v>5</v>
      </c>
      <c r="S196" t="str">
        <f t="shared" si="11"/>
        <v>May</v>
      </c>
    </row>
    <row r="197" spans="1:19">
      <c r="A197" t="s">
        <v>381</v>
      </c>
      <c r="B197" s="2">
        <v>45801</v>
      </c>
      <c r="C197" t="s">
        <v>264</v>
      </c>
      <c r="D197" t="s">
        <v>123</v>
      </c>
      <c r="E197" t="s">
        <v>19</v>
      </c>
      <c r="F197" t="s">
        <v>48</v>
      </c>
      <c r="G197" t="s">
        <v>57</v>
      </c>
      <c r="H197" t="s">
        <v>97</v>
      </c>
      <c r="I197">
        <v>4</v>
      </c>
      <c r="J197">
        <v>7500</v>
      </c>
      <c r="K197">
        <v>0.05</v>
      </c>
      <c r="L197" t="s">
        <v>23</v>
      </c>
      <c r="M197" t="s">
        <v>112</v>
      </c>
      <c r="N197">
        <v>30000</v>
      </c>
      <c r="O197">
        <v>1500</v>
      </c>
      <c r="P197">
        <v>28500</v>
      </c>
      <c r="Q197">
        <f t="shared" si="9"/>
        <v>2025</v>
      </c>
      <c r="R197">
        <f t="shared" si="10"/>
        <v>5</v>
      </c>
      <c r="S197" t="str">
        <f t="shared" si="11"/>
        <v>May</v>
      </c>
    </row>
    <row r="198" spans="1:19">
      <c r="A198" t="s">
        <v>382</v>
      </c>
      <c r="B198" s="2">
        <v>45802</v>
      </c>
      <c r="C198" t="s">
        <v>53</v>
      </c>
      <c r="D198" t="s">
        <v>42</v>
      </c>
      <c r="E198" t="s">
        <v>55</v>
      </c>
      <c r="F198" t="s">
        <v>154</v>
      </c>
      <c r="G198" t="s">
        <v>21</v>
      </c>
      <c r="H198" t="s">
        <v>22</v>
      </c>
      <c r="I198">
        <v>4</v>
      </c>
      <c r="J198">
        <v>9500</v>
      </c>
      <c r="K198">
        <v>0.05</v>
      </c>
      <c r="L198" t="s">
        <v>32</v>
      </c>
      <c r="M198" t="s">
        <v>107</v>
      </c>
      <c r="N198">
        <v>38000</v>
      </c>
      <c r="O198">
        <v>1900</v>
      </c>
      <c r="P198">
        <v>36100</v>
      </c>
      <c r="Q198">
        <f t="shared" si="9"/>
        <v>2025</v>
      </c>
      <c r="R198">
        <f t="shared" si="10"/>
        <v>5</v>
      </c>
      <c r="S198" t="str">
        <f t="shared" si="11"/>
        <v>May</v>
      </c>
    </row>
    <row r="199" spans="1:19">
      <c r="A199" t="s">
        <v>383</v>
      </c>
      <c r="B199" s="2">
        <v>45802</v>
      </c>
      <c r="C199" t="s">
        <v>384</v>
      </c>
      <c r="D199" t="s">
        <v>27</v>
      </c>
      <c r="E199" t="s">
        <v>28</v>
      </c>
      <c r="F199" t="s">
        <v>29</v>
      </c>
      <c r="G199" t="s">
        <v>30</v>
      </c>
      <c r="H199" t="s">
        <v>103</v>
      </c>
      <c r="I199">
        <v>4</v>
      </c>
      <c r="J199">
        <v>4000</v>
      </c>
      <c r="K199">
        <v>0.15</v>
      </c>
      <c r="L199" t="s">
        <v>32</v>
      </c>
      <c r="M199" t="s">
        <v>51</v>
      </c>
      <c r="N199">
        <v>16000</v>
      </c>
      <c r="O199">
        <v>2400</v>
      </c>
      <c r="P199">
        <v>13600</v>
      </c>
      <c r="Q199">
        <f t="shared" si="9"/>
        <v>2025</v>
      </c>
      <c r="R199">
        <f t="shared" si="10"/>
        <v>5</v>
      </c>
      <c r="S199" t="str">
        <f t="shared" si="11"/>
        <v>May</v>
      </c>
    </row>
    <row r="200" spans="1:19">
      <c r="A200" t="s">
        <v>385</v>
      </c>
      <c r="B200" s="2">
        <v>45803</v>
      </c>
      <c r="C200" t="s">
        <v>203</v>
      </c>
      <c r="D200" t="s">
        <v>86</v>
      </c>
      <c r="E200" t="s">
        <v>19</v>
      </c>
      <c r="F200" t="s">
        <v>124</v>
      </c>
      <c r="G200" t="s">
        <v>21</v>
      </c>
      <c r="H200" t="s">
        <v>185</v>
      </c>
      <c r="I200">
        <v>3</v>
      </c>
      <c r="J200">
        <v>7000</v>
      </c>
      <c r="K200">
        <v>0.05</v>
      </c>
      <c r="L200" t="s">
        <v>44</v>
      </c>
      <c r="M200" t="s">
        <v>91</v>
      </c>
      <c r="N200">
        <v>21000</v>
      </c>
      <c r="O200">
        <v>1050</v>
      </c>
      <c r="P200">
        <v>19950</v>
      </c>
      <c r="Q200">
        <f t="shared" si="9"/>
        <v>2025</v>
      </c>
      <c r="R200">
        <f t="shared" si="10"/>
        <v>5</v>
      </c>
      <c r="S200" t="str">
        <f t="shared" si="11"/>
        <v>May</v>
      </c>
    </row>
    <row r="201" spans="1:19">
      <c r="A201" t="s">
        <v>386</v>
      </c>
      <c r="B201" s="2">
        <v>45803</v>
      </c>
      <c r="C201" t="s">
        <v>269</v>
      </c>
      <c r="D201" t="s">
        <v>123</v>
      </c>
      <c r="E201" t="s">
        <v>19</v>
      </c>
      <c r="F201" t="s">
        <v>48</v>
      </c>
      <c r="G201" t="s">
        <v>21</v>
      </c>
      <c r="H201" t="s">
        <v>181</v>
      </c>
      <c r="I201">
        <v>3</v>
      </c>
      <c r="J201">
        <v>7500</v>
      </c>
      <c r="K201">
        <v>0.05</v>
      </c>
      <c r="L201" t="s">
        <v>23</v>
      </c>
      <c r="M201" t="s">
        <v>112</v>
      </c>
      <c r="N201">
        <v>22500</v>
      </c>
      <c r="O201">
        <v>1125</v>
      </c>
      <c r="P201">
        <v>21375</v>
      </c>
      <c r="Q201">
        <f t="shared" si="9"/>
        <v>2025</v>
      </c>
      <c r="R201">
        <f t="shared" si="10"/>
        <v>5</v>
      </c>
      <c r="S201" t="str">
        <f t="shared" si="11"/>
        <v>May</v>
      </c>
    </row>
    <row r="202" spans="1:19">
      <c r="A202" t="s">
        <v>387</v>
      </c>
      <c r="B202" s="2">
        <v>45804</v>
      </c>
      <c r="C202" t="s">
        <v>388</v>
      </c>
      <c r="D202" t="s">
        <v>81</v>
      </c>
      <c r="E202" t="s">
        <v>19</v>
      </c>
      <c r="F202" t="s">
        <v>48</v>
      </c>
      <c r="G202" t="s">
        <v>30</v>
      </c>
      <c r="H202" t="s">
        <v>103</v>
      </c>
      <c r="I202">
        <v>5</v>
      </c>
      <c r="J202">
        <v>7500</v>
      </c>
      <c r="K202">
        <v>0.05</v>
      </c>
      <c r="L202" t="s">
        <v>50</v>
      </c>
      <c r="M202" t="s">
        <v>24</v>
      </c>
      <c r="N202">
        <v>37500</v>
      </c>
      <c r="O202">
        <v>1875</v>
      </c>
      <c r="P202">
        <v>35625</v>
      </c>
      <c r="Q202">
        <f t="shared" si="9"/>
        <v>2025</v>
      </c>
      <c r="R202">
        <f t="shared" si="10"/>
        <v>5</v>
      </c>
      <c r="S202" t="str">
        <f t="shared" si="11"/>
        <v>May</v>
      </c>
    </row>
    <row r="203" spans="1:19">
      <c r="A203" t="s">
        <v>389</v>
      </c>
      <c r="B203" s="2">
        <v>45806</v>
      </c>
      <c r="C203" t="s">
        <v>35</v>
      </c>
      <c r="D203" t="s">
        <v>61</v>
      </c>
      <c r="E203" t="s">
        <v>62</v>
      </c>
      <c r="F203" t="s">
        <v>63</v>
      </c>
      <c r="G203" t="s">
        <v>71</v>
      </c>
      <c r="H203" t="s">
        <v>72</v>
      </c>
      <c r="I203">
        <v>3</v>
      </c>
      <c r="J203">
        <v>180</v>
      </c>
      <c r="K203">
        <v>0.1</v>
      </c>
      <c r="L203" t="s">
        <v>44</v>
      </c>
      <c r="M203" t="s">
        <v>39</v>
      </c>
      <c r="N203">
        <v>540</v>
      </c>
      <c r="O203">
        <v>54</v>
      </c>
      <c r="P203">
        <v>486</v>
      </c>
      <c r="Q203">
        <f t="shared" si="9"/>
        <v>2025</v>
      </c>
      <c r="R203">
        <f t="shared" si="10"/>
        <v>5</v>
      </c>
      <c r="S203" t="str">
        <f t="shared" si="11"/>
        <v>May</v>
      </c>
    </row>
    <row r="204" spans="1:19">
      <c r="A204" t="s">
        <v>390</v>
      </c>
      <c r="B204" s="2">
        <v>45806</v>
      </c>
      <c r="C204" t="s">
        <v>391</v>
      </c>
      <c r="D204" t="s">
        <v>106</v>
      </c>
      <c r="E204" t="s">
        <v>37</v>
      </c>
      <c r="F204" t="s">
        <v>43</v>
      </c>
      <c r="G204" t="s">
        <v>30</v>
      </c>
      <c r="H204" t="s">
        <v>49</v>
      </c>
      <c r="I204">
        <v>3</v>
      </c>
      <c r="J204">
        <v>1800</v>
      </c>
      <c r="K204">
        <v>0.05</v>
      </c>
      <c r="L204" t="s">
        <v>44</v>
      </c>
      <c r="M204" t="s">
        <v>45</v>
      </c>
      <c r="N204">
        <v>5400</v>
      </c>
      <c r="O204">
        <v>270</v>
      </c>
      <c r="P204">
        <v>5130</v>
      </c>
      <c r="Q204">
        <f t="shared" si="9"/>
        <v>2025</v>
      </c>
      <c r="R204">
        <f t="shared" si="10"/>
        <v>5</v>
      </c>
      <c r="S204" t="str">
        <f t="shared" si="11"/>
        <v>May</v>
      </c>
    </row>
    <row r="205" spans="1:19">
      <c r="A205" t="s">
        <v>392</v>
      </c>
      <c r="B205" s="2">
        <v>45806</v>
      </c>
      <c r="C205" t="s">
        <v>341</v>
      </c>
      <c r="D205" t="s">
        <v>135</v>
      </c>
      <c r="E205" t="s">
        <v>55</v>
      </c>
      <c r="F205" t="s">
        <v>154</v>
      </c>
      <c r="G205" t="s">
        <v>30</v>
      </c>
      <c r="H205" t="s">
        <v>49</v>
      </c>
      <c r="I205">
        <v>3</v>
      </c>
      <c r="J205">
        <v>9500</v>
      </c>
      <c r="K205">
        <v>0</v>
      </c>
      <c r="L205" t="s">
        <v>50</v>
      </c>
      <c r="M205" t="s">
        <v>39</v>
      </c>
      <c r="N205">
        <v>28500</v>
      </c>
      <c r="O205">
        <v>0</v>
      </c>
      <c r="P205">
        <v>28500</v>
      </c>
      <c r="Q205">
        <f t="shared" si="9"/>
        <v>2025</v>
      </c>
      <c r="R205">
        <f t="shared" si="10"/>
        <v>5</v>
      </c>
      <c r="S205" t="str">
        <f t="shared" si="11"/>
        <v>May</v>
      </c>
    </row>
    <row r="206" spans="1:19">
      <c r="A206" t="s">
        <v>393</v>
      </c>
      <c r="B206" s="2">
        <v>45806</v>
      </c>
      <c r="C206" t="s">
        <v>35</v>
      </c>
      <c r="D206" t="s">
        <v>127</v>
      </c>
      <c r="E206" t="s">
        <v>37</v>
      </c>
      <c r="F206" t="s">
        <v>38</v>
      </c>
      <c r="G206" t="s">
        <v>71</v>
      </c>
      <c r="H206" t="s">
        <v>72</v>
      </c>
      <c r="I206">
        <v>2</v>
      </c>
      <c r="J206">
        <v>55000</v>
      </c>
      <c r="K206">
        <v>0.05</v>
      </c>
      <c r="L206" t="s">
        <v>32</v>
      </c>
      <c r="M206" t="s">
        <v>107</v>
      </c>
      <c r="N206">
        <v>110000</v>
      </c>
      <c r="O206">
        <v>5500</v>
      </c>
      <c r="P206">
        <v>104500</v>
      </c>
      <c r="Q206">
        <f t="shared" si="9"/>
        <v>2025</v>
      </c>
      <c r="R206">
        <f t="shared" si="10"/>
        <v>5</v>
      </c>
      <c r="S206" t="str">
        <f t="shared" si="11"/>
        <v>May</v>
      </c>
    </row>
    <row r="207" spans="1:19">
      <c r="A207" t="s">
        <v>394</v>
      </c>
      <c r="B207" s="2">
        <v>45807</v>
      </c>
      <c r="C207" t="s">
        <v>41</v>
      </c>
      <c r="D207" t="s">
        <v>61</v>
      </c>
      <c r="E207" t="s">
        <v>37</v>
      </c>
      <c r="F207" t="s">
        <v>38</v>
      </c>
      <c r="G207" t="s">
        <v>57</v>
      </c>
      <c r="H207" t="s">
        <v>97</v>
      </c>
      <c r="I207">
        <v>5</v>
      </c>
      <c r="J207">
        <v>55000</v>
      </c>
      <c r="K207">
        <v>0.05</v>
      </c>
      <c r="L207" t="s">
        <v>44</v>
      </c>
      <c r="M207" t="s">
        <v>107</v>
      </c>
      <c r="N207">
        <v>275000</v>
      </c>
      <c r="O207">
        <v>13750</v>
      </c>
      <c r="P207">
        <v>261250</v>
      </c>
      <c r="Q207">
        <f t="shared" si="9"/>
        <v>2025</v>
      </c>
      <c r="R207">
        <f t="shared" si="10"/>
        <v>5</v>
      </c>
      <c r="S207" t="str">
        <f t="shared" si="11"/>
        <v>May</v>
      </c>
    </row>
    <row r="208" spans="1:19">
      <c r="A208" t="s">
        <v>395</v>
      </c>
      <c r="B208" s="2">
        <v>45809</v>
      </c>
      <c r="C208" t="s">
        <v>252</v>
      </c>
      <c r="D208" t="s">
        <v>89</v>
      </c>
      <c r="E208" t="s">
        <v>28</v>
      </c>
      <c r="F208" t="s">
        <v>148</v>
      </c>
      <c r="G208" t="s">
        <v>71</v>
      </c>
      <c r="H208" t="s">
        <v>99</v>
      </c>
      <c r="I208">
        <v>3</v>
      </c>
      <c r="J208">
        <v>1800</v>
      </c>
      <c r="K208">
        <v>0.05</v>
      </c>
      <c r="L208" t="s">
        <v>32</v>
      </c>
      <c r="M208" t="s">
        <v>112</v>
      </c>
      <c r="N208">
        <v>5400</v>
      </c>
      <c r="O208">
        <v>270</v>
      </c>
      <c r="P208">
        <v>5130</v>
      </c>
      <c r="Q208">
        <f t="shared" si="9"/>
        <v>2025</v>
      </c>
      <c r="R208">
        <f t="shared" si="10"/>
        <v>6</v>
      </c>
      <c r="S208" t="str">
        <f t="shared" si="11"/>
        <v>June</v>
      </c>
    </row>
    <row r="209" spans="1:19">
      <c r="A209" t="s">
        <v>396</v>
      </c>
      <c r="B209" s="2">
        <v>45811</v>
      </c>
      <c r="C209" t="s">
        <v>345</v>
      </c>
      <c r="D209" t="s">
        <v>153</v>
      </c>
      <c r="E209" t="s">
        <v>37</v>
      </c>
      <c r="F209" t="s">
        <v>38</v>
      </c>
      <c r="G209" t="s">
        <v>71</v>
      </c>
      <c r="H209" t="s">
        <v>187</v>
      </c>
      <c r="I209">
        <v>1</v>
      </c>
      <c r="J209">
        <v>55000</v>
      </c>
      <c r="K209">
        <v>0.05</v>
      </c>
      <c r="L209" t="s">
        <v>32</v>
      </c>
      <c r="M209" t="s">
        <v>107</v>
      </c>
      <c r="N209">
        <v>55000</v>
      </c>
      <c r="O209">
        <v>2750</v>
      </c>
      <c r="P209">
        <v>52250</v>
      </c>
      <c r="Q209">
        <f t="shared" si="9"/>
        <v>2025</v>
      </c>
      <c r="R209">
        <f t="shared" si="10"/>
        <v>6</v>
      </c>
      <c r="S209" t="str">
        <f t="shared" si="11"/>
        <v>June</v>
      </c>
    </row>
    <row r="210" spans="1:19">
      <c r="A210" t="s">
        <v>397</v>
      </c>
      <c r="B210" s="2">
        <v>45811</v>
      </c>
      <c r="C210" t="s">
        <v>77</v>
      </c>
      <c r="D210" t="s">
        <v>18</v>
      </c>
      <c r="E210" t="s">
        <v>28</v>
      </c>
      <c r="F210" t="s">
        <v>82</v>
      </c>
      <c r="G210" t="s">
        <v>57</v>
      </c>
      <c r="H210" t="s">
        <v>142</v>
      </c>
      <c r="I210">
        <v>3</v>
      </c>
      <c r="J210">
        <v>3500</v>
      </c>
      <c r="K210">
        <v>0.05</v>
      </c>
      <c r="L210" t="s">
        <v>44</v>
      </c>
      <c r="M210" t="s">
        <v>107</v>
      </c>
      <c r="N210">
        <v>10500</v>
      </c>
      <c r="O210">
        <v>525</v>
      </c>
      <c r="P210">
        <v>9975</v>
      </c>
      <c r="Q210">
        <f t="shared" si="9"/>
        <v>2025</v>
      </c>
      <c r="R210">
        <f t="shared" si="10"/>
        <v>6</v>
      </c>
      <c r="S210" t="str">
        <f t="shared" si="11"/>
        <v>June</v>
      </c>
    </row>
    <row r="211" spans="1:19">
      <c r="A211" t="s">
        <v>398</v>
      </c>
      <c r="B211" s="2">
        <v>45812</v>
      </c>
      <c r="C211" t="s">
        <v>247</v>
      </c>
      <c r="D211" t="s">
        <v>69</v>
      </c>
      <c r="E211" t="s">
        <v>37</v>
      </c>
      <c r="F211" t="s">
        <v>43</v>
      </c>
      <c r="G211" t="s">
        <v>71</v>
      </c>
      <c r="H211" t="s">
        <v>128</v>
      </c>
      <c r="I211">
        <v>5</v>
      </c>
      <c r="J211">
        <v>1800</v>
      </c>
      <c r="K211">
        <v>0.05</v>
      </c>
      <c r="L211" t="s">
        <v>50</v>
      </c>
      <c r="M211" t="s">
        <v>33</v>
      </c>
      <c r="N211">
        <v>9000</v>
      </c>
      <c r="O211">
        <v>450</v>
      </c>
      <c r="P211">
        <v>8550</v>
      </c>
      <c r="Q211">
        <f t="shared" si="9"/>
        <v>2025</v>
      </c>
      <c r="R211">
        <f t="shared" si="10"/>
        <v>6</v>
      </c>
      <c r="S211" t="str">
        <f t="shared" si="11"/>
        <v>June</v>
      </c>
    </row>
    <row r="212" spans="1:19">
      <c r="A212" t="s">
        <v>399</v>
      </c>
      <c r="B212" s="2">
        <v>45812</v>
      </c>
      <c r="C212" t="s">
        <v>257</v>
      </c>
      <c r="D212" t="s">
        <v>89</v>
      </c>
      <c r="E212" t="s">
        <v>28</v>
      </c>
      <c r="F212" t="s">
        <v>130</v>
      </c>
      <c r="G212" t="s">
        <v>71</v>
      </c>
      <c r="H212" t="s">
        <v>99</v>
      </c>
      <c r="I212">
        <v>5</v>
      </c>
      <c r="J212">
        <v>2200</v>
      </c>
      <c r="K212">
        <v>0.05</v>
      </c>
      <c r="L212" t="s">
        <v>23</v>
      </c>
      <c r="M212" t="s">
        <v>45</v>
      </c>
      <c r="N212">
        <v>11000</v>
      </c>
      <c r="O212">
        <v>550</v>
      </c>
      <c r="P212">
        <v>10450</v>
      </c>
      <c r="Q212">
        <f t="shared" si="9"/>
        <v>2025</v>
      </c>
      <c r="R212">
        <f t="shared" si="10"/>
        <v>6</v>
      </c>
      <c r="S212" t="str">
        <f t="shared" si="11"/>
        <v>June</v>
      </c>
    </row>
    <row r="213" spans="1:19">
      <c r="A213" t="s">
        <v>400</v>
      </c>
      <c r="B213" s="2">
        <v>45812</v>
      </c>
      <c r="C213" t="s">
        <v>305</v>
      </c>
      <c r="D213" t="s">
        <v>228</v>
      </c>
      <c r="E213" t="s">
        <v>62</v>
      </c>
      <c r="F213" t="s">
        <v>169</v>
      </c>
      <c r="G213" t="s">
        <v>71</v>
      </c>
      <c r="H213" t="s">
        <v>72</v>
      </c>
      <c r="I213">
        <v>5</v>
      </c>
      <c r="J213">
        <v>1200</v>
      </c>
      <c r="K213">
        <v>0.15</v>
      </c>
      <c r="L213" t="s">
        <v>50</v>
      </c>
      <c r="M213" t="s">
        <v>45</v>
      </c>
      <c r="N213">
        <v>6000</v>
      </c>
      <c r="O213">
        <v>900</v>
      </c>
      <c r="P213">
        <v>5100</v>
      </c>
      <c r="Q213">
        <f t="shared" si="9"/>
        <v>2025</v>
      </c>
      <c r="R213">
        <f t="shared" si="10"/>
        <v>6</v>
      </c>
      <c r="S213" t="str">
        <f t="shared" si="11"/>
        <v>June</v>
      </c>
    </row>
    <row r="214" spans="1:19">
      <c r="A214" t="s">
        <v>401</v>
      </c>
      <c r="B214" s="2">
        <v>45814</v>
      </c>
      <c r="C214" t="s">
        <v>192</v>
      </c>
      <c r="D214" t="s">
        <v>89</v>
      </c>
      <c r="E214" t="s">
        <v>28</v>
      </c>
      <c r="F214" t="s">
        <v>82</v>
      </c>
      <c r="G214" t="s">
        <v>57</v>
      </c>
      <c r="H214" t="s">
        <v>75</v>
      </c>
      <c r="I214">
        <v>4</v>
      </c>
      <c r="J214">
        <v>3500</v>
      </c>
      <c r="K214">
        <v>0.1</v>
      </c>
      <c r="L214" t="s">
        <v>32</v>
      </c>
      <c r="M214" t="s">
        <v>112</v>
      </c>
      <c r="N214">
        <v>14000</v>
      </c>
      <c r="O214">
        <v>1400</v>
      </c>
      <c r="P214">
        <v>12600</v>
      </c>
      <c r="Q214">
        <f t="shared" si="9"/>
        <v>2025</v>
      </c>
      <c r="R214">
        <f t="shared" si="10"/>
        <v>6</v>
      </c>
      <c r="S214" t="str">
        <f t="shared" si="11"/>
        <v>June</v>
      </c>
    </row>
    <row r="215" spans="1:19">
      <c r="A215" t="s">
        <v>402</v>
      </c>
      <c r="B215" s="2">
        <v>45815</v>
      </c>
      <c r="C215" t="s">
        <v>262</v>
      </c>
      <c r="D215" t="s">
        <v>42</v>
      </c>
      <c r="E215" t="s">
        <v>28</v>
      </c>
      <c r="F215" t="s">
        <v>82</v>
      </c>
      <c r="G215" t="s">
        <v>57</v>
      </c>
      <c r="H215" t="s">
        <v>142</v>
      </c>
      <c r="I215">
        <v>2</v>
      </c>
      <c r="J215">
        <v>3500</v>
      </c>
      <c r="K215">
        <v>0.05</v>
      </c>
      <c r="L215" t="s">
        <v>44</v>
      </c>
      <c r="M215" t="s">
        <v>24</v>
      </c>
      <c r="N215">
        <v>7000</v>
      </c>
      <c r="O215">
        <v>350</v>
      </c>
      <c r="P215">
        <v>6650</v>
      </c>
      <c r="Q215">
        <f t="shared" si="9"/>
        <v>2025</v>
      </c>
      <c r="R215">
        <f t="shared" si="10"/>
        <v>6</v>
      </c>
      <c r="S215" t="str">
        <f t="shared" si="11"/>
        <v>June</v>
      </c>
    </row>
    <row r="216" spans="1:19">
      <c r="A216" t="s">
        <v>403</v>
      </c>
      <c r="B216" s="2">
        <v>45817</v>
      </c>
      <c r="C216" t="s">
        <v>168</v>
      </c>
      <c r="D216" t="s">
        <v>228</v>
      </c>
      <c r="E216" t="s">
        <v>28</v>
      </c>
      <c r="F216" t="s">
        <v>66</v>
      </c>
      <c r="G216" t="s">
        <v>30</v>
      </c>
      <c r="H216" t="s">
        <v>49</v>
      </c>
      <c r="I216">
        <v>4</v>
      </c>
      <c r="J216">
        <v>900</v>
      </c>
      <c r="K216">
        <v>0.05</v>
      </c>
      <c r="L216" t="s">
        <v>50</v>
      </c>
      <c r="M216" t="s">
        <v>45</v>
      </c>
      <c r="N216">
        <v>3600</v>
      </c>
      <c r="O216">
        <v>180</v>
      </c>
      <c r="P216">
        <v>3420</v>
      </c>
      <c r="Q216">
        <f t="shared" si="9"/>
        <v>2025</v>
      </c>
      <c r="R216">
        <f t="shared" si="10"/>
        <v>6</v>
      </c>
      <c r="S216" t="str">
        <f t="shared" si="11"/>
        <v>June</v>
      </c>
    </row>
    <row r="217" spans="1:19">
      <c r="A217" t="s">
        <v>404</v>
      </c>
      <c r="B217" s="2">
        <v>45817</v>
      </c>
      <c r="C217" t="s">
        <v>285</v>
      </c>
      <c r="D217" t="s">
        <v>120</v>
      </c>
      <c r="E217" t="s">
        <v>37</v>
      </c>
      <c r="F217" t="s">
        <v>90</v>
      </c>
      <c r="G217" t="s">
        <v>71</v>
      </c>
      <c r="H217" t="s">
        <v>99</v>
      </c>
      <c r="I217">
        <v>5</v>
      </c>
      <c r="J217">
        <v>900</v>
      </c>
      <c r="K217">
        <v>0</v>
      </c>
      <c r="L217" t="s">
        <v>44</v>
      </c>
      <c r="M217" t="s">
        <v>51</v>
      </c>
      <c r="N217">
        <v>4500</v>
      </c>
      <c r="O217">
        <v>0</v>
      </c>
      <c r="P217">
        <v>4500</v>
      </c>
      <c r="Q217">
        <f t="shared" si="9"/>
        <v>2025</v>
      </c>
      <c r="R217">
        <f t="shared" si="10"/>
        <v>6</v>
      </c>
      <c r="S217" t="str">
        <f t="shared" si="11"/>
        <v>June</v>
      </c>
    </row>
    <row r="218" spans="1:19">
      <c r="A218" t="s">
        <v>405</v>
      </c>
      <c r="B218" s="2">
        <v>45818</v>
      </c>
      <c r="C218" t="s">
        <v>47</v>
      </c>
      <c r="D218" t="s">
        <v>18</v>
      </c>
      <c r="E218" t="s">
        <v>55</v>
      </c>
      <c r="F218" t="s">
        <v>213</v>
      </c>
      <c r="G218" t="s">
        <v>30</v>
      </c>
      <c r="H218" t="s">
        <v>31</v>
      </c>
      <c r="I218">
        <v>1</v>
      </c>
      <c r="J218">
        <v>8500</v>
      </c>
      <c r="K218">
        <v>0.1</v>
      </c>
      <c r="L218" t="s">
        <v>44</v>
      </c>
      <c r="M218" t="s">
        <v>51</v>
      </c>
      <c r="N218">
        <v>8500</v>
      </c>
      <c r="O218">
        <v>850</v>
      </c>
      <c r="P218">
        <v>7650</v>
      </c>
      <c r="Q218">
        <f t="shared" si="9"/>
        <v>2025</v>
      </c>
      <c r="R218">
        <f t="shared" si="10"/>
        <v>6</v>
      </c>
      <c r="S218" t="str">
        <f t="shared" si="11"/>
        <v>June</v>
      </c>
    </row>
    <row r="219" spans="1:19">
      <c r="A219" t="s">
        <v>406</v>
      </c>
      <c r="B219" s="2">
        <v>45819</v>
      </c>
      <c r="C219" t="s">
        <v>144</v>
      </c>
      <c r="D219" t="s">
        <v>54</v>
      </c>
      <c r="E219" t="s">
        <v>37</v>
      </c>
      <c r="F219" t="s">
        <v>43</v>
      </c>
      <c r="G219" t="s">
        <v>71</v>
      </c>
      <c r="H219" t="s">
        <v>72</v>
      </c>
      <c r="I219">
        <v>2</v>
      </c>
      <c r="J219">
        <v>1800</v>
      </c>
      <c r="K219">
        <v>0.05</v>
      </c>
      <c r="L219" t="s">
        <v>23</v>
      </c>
      <c r="M219" t="s">
        <v>45</v>
      </c>
      <c r="N219">
        <v>3600</v>
      </c>
      <c r="O219">
        <v>180</v>
      </c>
      <c r="P219">
        <v>3420</v>
      </c>
      <c r="Q219">
        <f t="shared" si="9"/>
        <v>2025</v>
      </c>
      <c r="R219">
        <f t="shared" si="10"/>
        <v>6</v>
      </c>
      <c r="S219" t="str">
        <f t="shared" si="11"/>
        <v>June</v>
      </c>
    </row>
    <row r="220" spans="1:19">
      <c r="A220" t="s">
        <v>407</v>
      </c>
      <c r="B220" s="2">
        <v>45819</v>
      </c>
      <c r="C220" t="s">
        <v>195</v>
      </c>
      <c r="D220" t="s">
        <v>54</v>
      </c>
      <c r="E220" t="s">
        <v>37</v>
      </c>
      <c r="F220" t="s">
        <v>43</v>
      </c>
      <c r="G220" t="s">
        <v>57</v>
      </c>
      <c r="H220" t="s">
        <v>75</v>
      </c>
      <c r="I220">
        <v>2</v>
      </c>
      <c r="J220">
        <v>1800</v>
      </c>
      <c r="K220">
        <v>0.1</v>
      </c>
      <c r="L220" t="s">
        <v>44</v>
      </c>
      <c r="M220" t="s">
        <v>107</v>
      </c>
      <c r="N220">
        <v>3600</v>
      </c>
      <c r="O220">
        <v>360</v>
      </c>
      <c r="P220">
        <v>3240</v>
      </c>
      <c r="Q220">
        <f t="shared" si="9"/>
        <v>2025</v>
      </c>
      <c r="R220">
        <f t="shared" si="10"/>
        <v>6</v>
      </c>
      <c r="S220" t="str">
        <f t="shared" si="11"/>
        <v>June</v>
      </c>
    </row>
    <row r="221" spans="1:19">
      <c r="A221" t="s">
        <v>408</v>
      </c>
      <c r="B221" s="2">
        <v>45820</v>
      </c>
      <c r="C221" t="s">
        <v>96</v>
      </c>
      <c r="D221" t="s">
        <v>123</v>
      </c>
      <c r="E221" t="s">
        <v>62</v>
      </c>
      <c r="F221" t="s">
        <v>78</v>
      </c>
      <c r="G221" t="s">
        <v>57</v>
      </c>
      <c r="H221" t="s">
        <v>75</v>
      </c>
      <c r="I221">
        <v>4</v>
      </c>
      <c r="J221">
        <v>250</v>
      </c>
      <c r="K221">
        <v>0.15</v>
      </c>
      <c r="L221" t="s">
        <v>50</v>
      </c>
      <c r="M221" t="s">
        <v>24</v>
      </c>
      <c r="N221">
        <v>1000</v>
      </c>
      <c r="O221">
        <v>150</v>
      </c>
      <c r="P221">
        <v>850</v>
      </c>
      <c r="Q221">
        <f t="shared" si="9"/>
        <v>2025</v>
      </c>
      <c r="R221">
        <f t="shared" si="10"/>
        <v>6</v>
      </c>
      <c r="S221" t="str">
        <f t="shared" si="11"/>
        <v>June</v>
      </c>
    </row>
    <row r="222" spans="1:19">
      <c r="A222" t="s">
        <v>409</v>
      </c>
      <c r="B222" s="2">
        <v>45820</v>
      </c>
      <c r="C222" t="s">
        <v>227</v>
      </c>
      <c r="D222" t="s">
        <v>228</v>
      </c>
      <c r="E222" t="s">
        <v>19</v>
      </c>
      <c r="F222" t="s">
        <v>48</v>
      </c>
      <c r="G222" t="s">
        <v>71</v>
      </c>
      <c r="H222" t="s">
        <v>99</v>
      </c>
      <c r="I222">
        <v>4</v>
      </c>
      <c r="J222">
        <v>7500</v>
      </c>
      <c r="K222">
        <v>0.1</v>
      </c>
      <c r="L222" t="s">
        <v>23</v>
      </c>
      <c r="M222" t="s">
        <v>51</v>
      </c>
      <c r="N222">
        <v>30000</v>
      </c>
      <c r="O222">
        <v>3000</v>
      </c>
      <c r="P222">
        <v>27000</v>
      </c>
      <c r="Q222">
        <f t="shared" si="9"/>
        <v>2025</v>
      </c>
      <c r="R222">
        <f t="shared" si="10"/>
        <v>6</v>
      </c>
      <c r="S222" t="str">
        <f t="shared" si="11"/>
        <v>June</v>
      </c>
    </row>
    <row r="223" spans="1:19">
      <c r="A223" t="s">
        <v>410</v>
      </c>
      <c r="B223" s="2">
        <v>45821</v>
      </c>
      <c r="C223" t="s">
        <v>195</v>
      </c>
      <c r="D223" t="s">
        <v>27</v>
      </c>
      <c r="E223" t="s">
        <v>55</v>
      </c>
      <c r="F223" t="s">
        <v>213</v>
      </c>
      <c r="G223" t="s">
        <v>21</v>
      </c>
      <c r="H223" t="s">
        <v>83</v>
      </c>
      <c r="I223">
        <v>2</v>
      </c>
      <c r="J223">
        <v>8500</v>
      </c>
      <c r="K223">
        <v>0.1</v>
      </c>
      <c r="L223" t="s">
        <v>50</v>
      </c>
      <c r="M223" t="s">
        <v>91</v>
      </c>
      <c r="N223">
        <v>17000</v>
      </c>
      <c r="O223">
        <v>1700</v>
      </c>
      <c r="P223">
        <v>15300</v>
      </c>
      <c r="Q223">
        <f t="shared" si="9"/>
        <v>2025</v>
      </c>
      <c r="R223">
        <f t="shared" si="10"/>
        <v>6</v>
      </c>
      <c r="S223" t="str">
        <f t="shared" si="11"/>
        <v>June</v>
      </c>
    </row>
    <row r="224" spans="1:19">
      <c r="A224" t="s">
        <v>411</v>
      </c>
      <c r="B224" s="2">
        <v>45821</v>
      </c>
      <c r="C224" t="s">
        <v>240</v>
      </c>
      <c r="D224" t="s">
        <v>81</v>
      </c>
      <c r="E224" t="s">
        <v>37</v>
      </c>
      <c r="F224" t="s">
        <v>90</v>
      </c>
      <c r="G224" t="s">
        <v>21</v>
      </c>
      <c r="H224" t="s">
        <v>22</v>
      </c>
      <c r="I224">
        <v>1</v>
      </c>
      <c r="J224">
        <v>900</v>
      </c>
      <c r="K224">
        <v>0.1</v>
      </c>
      <c r="L224" t="s">
        <v>50</v>
      </c>
      <c r="M224" t="s">
        <v>39</v>
      </c>
      <c r="N224">
        <v>900</v>
      </c>
      <c r="O224">
        <v>90</v>
      </c>
      <c r="P224">
        <v>810</v>
      </c>
      <c r="Q224">
        <f t="shared" si="9"/>
        <v>2025</v>
      </c>
      <c r="R224">
        <f t="shared" si="10"/>
        <v>6</v>
      </c>
      <c r="S224" t="str">
        <f t="shared" si="11"/>
        <v>June</v>
      </c>
    </row>
    <row r="225" spans="1:19">
      <c r="A225" t="s">
        <v>412</v>
      </c>
      <c r="B225" s="2">
        <v>45822</v>
      </c>
      <c r="C225" t="s">
        <v>281</v>
      </c>
      <c r="D225" t="s">
        <v>69</v>
      </c>
      <c r="E225" t="s">
        <v>55</v>
      </c>
      <c r="F225" t="s">
        <v>154</v>
      </c>
      <c r="G225" t="s">
        <v>21</v>
      </c>
      <c r="H225" t="s">
        <v>22</v>
      </c>
      <c r="I225">
        <v>3</v>
      </c>
      <c r="J225">
        <v>9500</v>
      </c>
      <c r="K225">
        <v>0.15</v>
      </c>
      <c r="L225" t="s">
        <v>50</v>
      </c>
      <c r="M225" t="s">
        <v>107</v>
      </c>
      <c r="N225">
        <v>28500</v>
      </c>
      <c r="O225">
        <v>4275</v>
      </c>
      <c r="P225">
        <v>24225</v>
      </c>
      <c r="Q225">
        <f t="shared" si="9"/>
        <v>2025</v>
      </c>
      <c r="R225">
        <f t="shared" si="10"/>
        <v>6</v>
      </c>
      <c r="S225" t="str">
        <f t="shared" si="11"/>
        <v>June</v>
      </c>
    </row>
    <row r="226" spans="1:19">
      <c r="A226" t="s">
        <v>413</v>
      </c>
      <c r="B226" s="2">
        <v>45822</v>
      </c>
      <c r="C226" t="s">
        <v>216</v>
      </c>
      <c r="D226" t="s">
        <v>18</v>
      </c>
      <c r="E226" t="s">
        <v>55</v>
      </c>
      <c r="F226" t="s">
        <v>154</v>
      </c>
      <c r="G226" t="s">
        <v>57</v>
      </c>
      <c r="H226" t="s">
        <v>75</v>
      </c>
      <c r="I226">
        <v>1</v>
      </c>
      <c r="J226">
        <v>9500</v>
      </c>
      <c r="K226">
        <v>0</v>
      </c>
      <c r="L226" t="s">
        <v>23</v>
      </c>
      <c r="M226" t="s">
        <v>24</v>
      </c>
      <c r="N226">
        <v>9500</v>
      </c>
      <c r="O226">
        <v>0</v>
      </c>
      <c r="P226">
        <v>9500</v>
      </c>
      <c r="Q226">
        <f t="shared" si="9"/>
        <v>2025</v>
      </c>
      <c r="R226">
        <f t="shared" si="10"/>
        <v>6</v>
      </c>
      <c r="S226" t="str">
        <f t="shared" si="11"/>
        <v>June</v>
      </c>
    </row>
    <row r="227" spans="1:19">
      <c r="A227" t="s">
        <v>414</v>
      </c>
      <c r="B227" s="2">
        <v>45823</v>
      </c>
      <c r="C227" t="s">
        <v>35</v>
      </c>
      <c r="D227" t="s">
        <v>127</v>
      </c>
      <c r="E227" t="s">
        <v>19</v>
      </c>
      <c r="F227" t="s">
        <v>124</v>
      </c>
      <c r="G227" t="s">
        <v>30</v>
      </c>
      <c r="H227" t="s">
        <v>31</v>
      </c>
      <c r="I227">
        <v>2</v>
      </c>
      <c r="J227">
        <v>7000</v>
      </c>
      <c r="K227">
        <v>0</v>
      </c>
      <c r="L227" t="s">
        <v>44</v>
      </c>
      <c r="M227" t="s">
        <v>33</v>
      </c>
      <c r="N227">
        <v>14000</v>
      </c>
      <c r="O227">
        <v>0</v>
      </c>
      <c r="P227">
        <v>14000</v>
      </c>
      <c r="Q227">
        <f t="shared" si="9"/>
        <v>2025</v>
      </c>
      <c r="R227">
        <f t="shared" si="10"/>
        <v>6</v>
      </c>
      <c r="S227" t="str">
        <f t="shared" si="11"/>
        <v>June</v>
      </c>
    </row>
    <row r="228" spans="1:19">
      <c r="A228" t="s">
        <v>415</v>
      </c>
      <c r="B228" s="2">
        <v>45825</v>
      </c>
      <c r="C228" t="s">
        <v>138</v>
      </c>
      <c r="D228" t="s">
        <v>36</v>
      </c>
      <c r="E228" t="s">
        <v>28</v>
      </c>
      <c r="F228" t="s">
        <v>82</v>
      </c>
      <c r="G228" t="s">
        <v>30</v>
      </c>
      <c r="H228" t="s">
        <v>31</v>
      </c>
      <c r="I228">
        <v>2</v>
      </c>
      <c r="J228">
        <v>3500</v>
      </c>
      <c r="K228">
        <v>0.1</v>
      </c>
      <c r="L228" t="s">
        <v>32</v>
      </c>
      <c r="M228" t="s">
        <v>107</v>
      </c>
      <c r="N228">
        <v>7000</v>
      </c>
      <c r="O228">
        <v>700</v>
      </c>
      <c r="P228">
        <v>6300</v>
      </c>
      <c r="Q228">
        <f t="shared" si="9"/>
        <v>2025</v>
      </c>
      <c r="R228">
        <f t="shared" si="10"/>
        <v>6</v>
      </c>
      <c r="S228" t="str">
        <f t="shared" si="11"/>
        <v>June</v>
      </c>
    </row>
    <row r="229" spans="1:19">
      <c r="A229" t="s">
        <v>416</v>
      </c>
      <c r="B229" s="2">
        <v>45825</v>
      </c>
      <c r="C229" t="s">
        <v>77</v>
      </c>
      <c r="D229" t="s">
        <v>36</v>
      </c>
      <c r="E229" t="s">
        <v>62</v>
      </c>
      <c r="F229" t="s">
        <v>293</v>
      </c>
      <c r="G229" t="s">
        <v>21</v>
      </c>
      <c r="H229" t="s">
        <v>185</v>
      </c>
      <c r="I229">
        <v>3</v>
      </c>
      <c r="J229">
        <v>500</v>
      </c>
      <c r="K229">
        <v>0.15</v>
      </c>
      <c r="L229" t="s">
        <v>50</v>
      </c>
      <c r="M229" t="s">
        <v>91</v>
      </c>
      <c r="N229">
        <v>1500</v>
      </c>
      <c r="O229">
        <v>225</v>
      </c>
      <c r="P229">
        <v>1275</v>
      </c>
      <c r="Q229">
        <f t="shared" si="9"/>
        <v>2025</v>
      </c>
      <c r="R229">
        <f t="shared" si="10"/>
        <v>6</v>
      </c>
      <c r="S229" t="str">
        <f t="shared" si="11"/>
        <v>June</v>
      </c>
    </row>
    <row r="230" spans="1:19">
      <c r="A230" t="s">
        <v>417</v>
      </c>
      <c r="B230" s="2">
        <v>45827</v>
      </c>
      <c r="C230" t="s">
        <v>247</v>
      </c>
      <c r="D230" t="s">
        <v>127</v>
      </c>
      <c r="E230" t="s">
        <v>28</v>
      </c>
      <c r="F230" t="s">
        <v>29</v>
      </c>
      <c r="G230" t="s">
        <v>30</v>
      </c>
      <c r="H230" t="s">
        <v>103</v>
      </c>
      <c r="I230">
        <v>3</v>
      </c>
      <c r="J230">
        <v>4000</v>
      </c>
      <c r="K230">
        <v>0.05</v>
      </c>
      <c r="L230" t="s">
        <v>50</v>
      </c>
      <c r="M230" t="s">
        <v>24</v>
      </c>
      <c r="N230">
        <v>12000</v>
      </c>
      <c r="O230">
        <v>600</v>
      </c>
      <c r="P230">
        <v>11400</v>
      </c>
      <c r="Q230">
        <f t="shared" si="9"/>
        <v>2025</v>
      </c>
      <c r="R230">
        <f t="shared" si="10"/>
        <v>6</v>
      </c>
      <c r="S230" t="str">
        <f t="shared" si="11"/>
        <v>June</v>
      </c>
    </row>
    <row r="231" spans="1:19">
      <c r="A231" t="s">
        <v>418</v>
      </c>
      <c r="B231" s="2">
        <v>45827</v>
      </c>
      <c r="C231" t="s">
        <v>419</v>
      </c>
      <c r="D231" t="s">
        <v>153</v>
      </c>
      <c r="E231" t="s">
        <v>19</v>
      </c>
      <c r="F231" t="s">
        <v>70</v>
      </c>
      <c r="G231" t="s">
        <v>21</v>
      </c>
      <c r="H231" t="s">
        <v>185</v>
      </c>
      <c r="I231">
        <v>4</v>
      </c>
      <c r="J231">
        <v>6500</v>
      </c>
      <c r="K231">
        <v>0.1</v>
      </c>
      <c r="L231" t="s">
        <v>32</v>
      </c>
      <c r="M231" t="s">
        <v>24</v>
      </c>
      <c r="N231">
        <v>26000</v>
      </c>
      <c r="O231">
        <v>2600</v>
      </c>
      <c r="P231">
        <v>23400</v>
      </c>
      <c r="Q231">
        <f t="shared" si="9"/>
        <v>2025</v>
      </c>
      <c r="R231">
        <f t="shared" si="10"/>
        <v>6</v>
      </c>
      <c r="S231" t="str">
        <f t="shared" si="11"/>
        <v>June</v>
      </c>
    </row>
    <row r="232" spans="1:19">
      <c r="A232" t="s">
        <v>420</v>
      </c>
      <c r="B232" s="2">
        <v>45828</v>
      </c>
      <c r="C232" t="s">
        <v>272</v>
      </c>
      <c r="D232" t="s">
        <v>42</v>
      </c>
      <c r="E232" t="s">
        <v>28</v>
      </c>
      <c r="F232" t="s">
        <v>82</v>
      </c>
      <c r="G232" t="s">
        <v>21</v>
      </c>
      <c r="H232" t="s">
        <v>181</v>
      </c>
      <c r="I232">
        <v>5</v>
      </c>
      <c r="J232">
        <v>3500</v>
      </c>
      <c r="K232">
        <v>0.1</v>
      </c>
      <c r="L232" t="s">
        <v>32</v>
      </c>
      <c r="M232" t="s">
        <v>45</v>
      </c>
      <c r="N232">
        <v>17500</v>
      </c>
      <c r="O232">
        <v>1750</v>
      </c>
      <c r="P232">
        <v>15750</v>
      </c>
      <c r="Q232">
        <f t="shared" si="9"/>
        <v>2025</v>
      </c>
      <c r="R232">
        <f t="shared" si="10"/>
        <v>6</v>
      </c>
      <c r="S232" t="str">
        <f t="shared" si="11"/>
        <v>June</v>
      </c>
    </row>
    <row r="233" spans="1:19">
      <c r="A233" t="s">
        <v>421</v>
      </c>
      <c r="B233" s="2">
        <v>45829</v>
      </c>
      <c r="C233" t="s">
        <v>247</v>
      </c>
      <c r="D233" t="s">
        <v>69</v>
      </c>
      <c r="E233" t="s">
        <v>55</v>
      </c>
      <c r="F233" t="s">
        <v>154</v>
      </c>
      <c r="G233" t="s">
        <v>21</v>
      </c>
      <c r="H233" t="s">
        <v>83</v>
      </c>
      <c r="I233">
        <v>1</v>
      </c>
      <c r="J233">
        <v>9500</v>
      </c>
      <c r="K233">
        <v>0</v>
      </c>
      <c r="L233" t="s">
        <v>32</v>
      </c>
      <c r="M233" t="s">
        <v>24</v>
      </c>
      <c r="N233">
        <v>9500</v>
      </c>
      <c r="O233">
        <v>0</v>
      </c>
      <c r="P233">
        <v>9500</v>
      </c>
      <c r="Q233">
        <f t="shared" si="9"/>
        <v>2025</v>
      </c>
      <c r="R233">
        <f t="shared" si="10"/>
        <v>6</v>
      </c>
      <c r="S233" t="str">
        <f t="shared" si="11"/>
        <v>June</v>
      </c>
    </row>
    <row r="234" spans="1:19">
      <c r="A234" t="s">
        <v>422</v>
      </c>
      <c r="B234" s="2">
        <v>45831</v>
      </c>
      <c r="C234" t="s">
        <v>313</v>
      </c>
      <c r="D234" t="s">
        <v>86</v>
      </c>
      <c r="E234" t="s">
        <v>62</v>
      </c>
      <c r="F234" t="s">
        <v>94</v>
      </c>
      <c r="G234" t="s">
        <v>71</v>
      </c>
      <c r="H234" t="s">
        <v>99</v>
      </c>
      <c r="I234">
        <v>4</v>
      </c>
      <c r="J234">
        <v>120</v>
      </c>
      <c r="K234">
        <v>0.15</v>
      </c>
      <c r="L234" t="s">
        <v>32</v>
      </c>
      <c r="M234" t="s">
        <v>45</v>
      </c>
      <c r="N234">
        <v>480</v>
      </c>
      <c r="O234">
        <v>72</v>
      </c>
      <c r="P234">
        <v>408</v>
      </c>
      <c r="Q234">
        <f t="shared" si="9"/>
        <v>2025</v>
      </c>
      <c r="R234">
        <f t="shared" si="10"/>
        <v>6</v>
      </c>
      <c r="S234" t="str">
        <f t="shared" si="11"/>
        <v>June</v>
      </c>
    </row>
    <row r="235" spans="1:19">
      <c r="A235" t="s">
        <v>423</v>
      </c>
      <c r="B235" s="2">
        <v>45832</v>
      </c>
      <c r="C235" t="s">
        <v>269</v>
      </c>
      <c r="D235" t="s">
        <v>74</v>
      </c>
      <c r="E235" t="s">
        <v>19</v>
      </c>
      <c r="F235" t="s">
        <v>70</v>
      </c>
      <c r="G235" t="s">
        <v>30</v>
      </c>
      <c r="H235" t="s">
        <v>125</v>
      </c>
      <c r="I235">
        <v>4</v>
      </c>
      <c r="J235">
        <v>6500</v>
      </c>
      <c r="K235">
        <v>0.1</v>
      </c>
      <c r="L235" t="s">
        <v>44</v>
      </c>
      <c r="M235" t="s">
        <v>45</v>
      </c>
      <c r="N235">
        <v>26000</v>
      </c>
      <c r="O235">
        <v>2600</v>
      </c>
      <c r="P235">
        <v>23400</v>
      </c>
      <c r="Q235">
        <f t="shared" si="9"/>
        <v>2025</v>
      </c>
      <c r="R235">
        <f t="shared" si="10"/>
        <v>6</v>
      </c>
      <c r="S235" t="str">
        <f t="shared" si="11"/>
        <v>June</v>
      </c>
    </row>
    <row r="236" spans="1:19">
      <c r="A236" t="s">
        <v>424</v>
      </c>
      <c r="B236" s="2">
        <v>45834</v>
      </c>
      <c r="C236" t="s">
        <v>141</v>
      </c>
      <c r="D236" t="s">
        <v>81</v>
      </c>
      <c r="E236" t="s">
        <v>37</v>
      </c>
      <c r="F236" t="s">
        <v>43</v>
      </c>
      <c r="G236" t="s">
        <v>57</v>
      </c>
      <c r="H236" t="s">
        <v>97</v>
      </c>
      <c r="I236">
        <v>1</v>
      </c>
      <c r="J236">
        <v>1800</v>
      </c>
      <c r="K236">
        <v>0.1</v>
      </c>
      <c r="L236" t="s">
        <v>44</v>
      </c>
      <c r="M236" t="s">
        <v>24</v>
      </c>
      <c r="N236">
        <v>1800</v>
      </c>
      <c r="O236">
        <v>180</v>
      </c>
      <c r="P236">
        <v>1620</v>
      </c>
      <c r="Q236">
        <f t="shared" si="9"/>
        <v>2025</v>
      </c>
      <c r="R236">
        <f t="shared" si="10"/>
        <v>6</v>
      </c>
      <c r="S236" t="str">
        <f t="shared" si="11"/>
        <v>June</v>
      </c>
    </row>
    <row r="237" spans="1:19">
      <c r="A237" t="s">
        <v>425</v>
      </c>
      <c r="B237" s="2">
        <v>45834</v>
      </c>
      <c r="C237" t="s">
        <v>17</v>
      </c>
      <c r="D237" t="s">
        <v>18</v>
      </c>
      <c r="E237" t="s">
        <v>62</v>
      </c>
      <c r="F237" t="s">
        <v>78</v>
      </c>
      <c r="G237" t="s">
        <v>57</v>
      </c>
      <c r="H237" t="s">
        <v>75</v>
      </c>
      <c r="I237">
        <v>4</v>
      </c>
      <c r="J237">
        <v>250</v>
      </c>
      <c r="K237">
        <v>0.1</v>
      </c>
      <c r="L237" t="s">
        <v>44</v>
      </c>
      <c r="M237" t="s">
        <v>39</v>
      </c>
      <c r="N237">
        <v>1000</v>
      </c>
      <c r="O237">
        <v>100</v>
      </c>
      <c r="P237">
        <v>900</v>
      </c>
      <c r="Q237">
        <f t="shared" si="9"/>
        <v>2025</v>
      </c>
      <c r="R237">
        <f t="shared" si="10"/>
        <v>6</v>
      </c>
      <c r="S237" t="str">
        <f t="shared" si="11"/>
        <v>June</v>
      </c>
    </row>
    <row r="238" spans="1:19">
      <c r="A238" t="s">
        <v>426</v>
      </c>
      <c r="B238" s="2">
        <v>45834</v>
      </c>
      <c r="C238" t="s">
        <v>134</v>
      </c>
      <c r="D238" t="s">
        <v>115</v>
      </c>
      <c r="E238" t="s">
        <v>28</v>
      </c>
      <c r="F238" t="s">
        <v>66</v>
      </c>
      <c r="G238" t="s">
        <v>57</v>
      </c>
      <c r="H238" t="s">
        <v>58</v>
      </c>
      <c r="I238">
        <v>1</v>
      </c>
      <c r="J238">
        <v>900</v>
      </c>
      <c r="K238">
        <v>0</v>
      </c>
      <c r="L238" t="s">
        <v>50</v>
      </c>
      <c r="M238" t="s">
        <v>45</v>
      </c>
      <c r="N238">
        <v>900</v>
      </c>
      <c r="O238">
        <v>0</v>
      </c>
      <c r="P238">
        <v>900</v>
      </c>
      <c r="Q238">
        <f t="shared" si="9"/>
        <v>2025</v>
      </c>
      <c r="R238">
        <f t="shared" si="10"/>
        <v>6</v>
      </c>
      <c r="S238" t="str">
        <f t="shared" si="11"/>
        <v>June</v>
      </c>
    </row>
    <row r="239" spans="1:19">
      <c r="A239" t="s">
        <v>427</v>
      </c>
      <c r="B239" s="2">
        <v>45834</v>
      </c>
      <c r="C239" t="s">
        <v>93</v>
      </c>
      <c r="D239" t="s">
        <v>89</v>
      </c>
      <c r="E239" t="s">
        <v>62</v>
      </c>
      <c r="F239" t="s">
        <v>63</v>
      </c>
      <c r="G239" t="s">
        <v>71</v>
      </c>
      <c r="H239" t="s">
        <v>72</v>
      </c>
      <c r="I239">
        <v>5</v>
      </c>
      <c r="J239">
        <v>180</v>
      </c>
      <c r="K239">
        <v>0.15</v>
      </c>
      <c r="L239" t="s">
        <v>44</v>
      </c>
      <c r="M239" t="s">
        <v>91</v>
      </c>
      <c r="N239">
        <v>900</v>
      </c>
      <c r="O239">
        <v>135</v>
      </c>
      <c r="P239">
        <v>765</v>
      </c>
      <c r="Q239">
        <f t="shared" si="9"/>
        <v>2025</v>
      </c>
      <c r="R239">
        <f t="shared" si="10"/>
        <v>6</v>
      </c>
      <c r="S239" t="str">
        <f t="shared" si="11"/>
        <v>June</v>
      </c>
    </row>
    <row r="240" spans="1:19">
      <c r="A240" t="s">
        <v>428</v>
      </c>
      <c r="B240" s="2">
        <v>45834</v>
      </c>
      <c r="C240" t="s">
        <v>360</v>
      </c>
      <c r="D240" t="s">
        <v>135</v>
      </c>
      <c r="E240" t="s">
        <v>37</v>
      </c>
      <c r="F240" t="s">
        <v>90</v>
      </c>
      <c r="G240" t="s">
        <v>30</v>
      </c>
      <c r="H240" t="s">
        <v>125</v>
      </c>
      <c r="I240">
        <v>1</v>
      </c>
      <c r="J240">
        <v>900</v>
      </c>
      <c r="K240">
        <v>0.15</v>
      </c>
      <c r="L240" t="s">
        <v>32</v>
      </c>
      <c r="M240" t="s">
        <v>107</v>
      </c>
      <c r="N240">
        <v>900</v>
      </c>
      <c r="O240">
        <v>135</v>
      </c>
      <c r="P240">
        <v>765</v>
      </c>
      <c r="Q240">
        <f t="shared" si="9"/>
        <v>2025</v>
      </c>
      <c r="R240">
        <f t="shared" si="10"/>
        <v>6</v>
      </c>
      <c r="S240" t="str">
        <f t="shared" si="11"/>
        <v>June</v>
      </c>
    </row>
    <row r="241" spans="1:19">
      <c r="A241" t="s">
        <v>429</v>
      </c>
      <c r="B241" s="2">
        <v>45835</v>
      </c>
      <c r="C241" t="s">
        <v>189</v>
      </c>
      <c r="D241" t="s">
        <v>86</v>
      </c>
      <c r="E241" t="s">
        <v>28</v>
      </c>
      <c r="F241" t="s">
        <v>66</v>
      </c>
      <c r="G241" t="s">
        <v>57</v>
      </c>
      <c r="H241" t="s">
        <v>75</v>
      </c>
      <c r="I241">
        <v>2</v>
      </c>
      <c r="J241">
        <v>900</v>
      </c>
      <c r="K241">
        <v>0.05</v>
      </c>
      <c r="L241" t="s">
        <v>32</v>
      </c>
      <c r="M241" t="s">
        <v>107</v>
      </c>
      <c r="N241">
        <v>1800</v>
      </c>
      <c r="O241">
        <v>90</v>
      </c>
      <c r="P241">
        <v>1710</v>
      </c>
      <c r="Q241">
        <f t="shared" si="9"/>
        <v>2025</v>
      </c>
      <c r="R241">
        <f t="shared" si="10"/>
        <v>6</v>
      </c>
      <c r="S241" t="str">
        <f t="shared" si="11"/>
        <v>June</v>
      </c>
    </row>
    <row r="242" spans="1:19">
      <c r="A242" t="s">
        <v>430</v>
      </c>
      <c r="B242" s="2">
        <v>45835</v>
      </c>
      <c r="C242" t="s">
        <v>240</v>
      </c>
      <c r="D242" t="s">
        <v>27</v>
      </c>
      <c r="E242" t="s">
        <v>28</v>
      </c>
      <c r="F242" t="s">
        <v>66</v>
      </c>
      <c r="G242" t="s">
        <v>30</v>
      </c>
      <c r="H242" t="s">
        <v>49</v>
      </c>
      <c r="I242">
        <v>3</v>
      </c>
      <c r="J242">
        <v>900</v>
      </c>
      <c r="K242">
        <v>0.1</v>
      </c>
      <c r="L242" t="s">
        <v>32</v>
      </c>
      <c r="M242" t="s">
        <v>33</v>
      </c>
      <c r="N242">
        <v>2700</v>
      </c>
      <c r="O242">
        <v>270</v>
      </c>
      <c r="P242">
        <v>2430</v>
      </c>
      <c r="Q242">
        <f t="shared" si="9"/>
        <v>2025</v>
      </c>
      <c r="R242">
        <f t="shared" si="10"/>
        <v>6</v>
      </c>
      <c r="S242" t="str">
        <f t="shared" si="11"/>
        <v>June</v>
      </c>
    </row>
    <row r="243" spans="1:19">
      <c r="A243" t="s">
        <v>431</v>
      </c>
      <c r="B243" s="2">
        <v>45836</v>
      </c>
      <c r="C243" t="s">
        <v>232</v>
      </c>
      <c r="D243" t="s">
        <v>86</v>
      </c>
      <c r="E243" t="s">
        <v>37</v>
      </c>
      <c r="F243" t="s">
        <v>196</v>
      </c>
      <c r="G243" t="s">
        <v>30</v>
      </c>
      <c r="H243" t="s">
        <v>103</v>
      </c>
      <c r="I243">
        <v>4</v>
      </c>
      <c r="J243">
        <v>2500</v>
      </c>
      <c r="K243">
        <v>0</v>
      </c>
      <c r="L243" t="s">
        <v>23</v>
      </c>
      <c r="M243" t="s">
        <v>51</v>
      </c>
      <c r="N243">
        <v>10000</v>
      </c>
      <c r="O243">
        <v>0</v>
      </c>
      <c r="P243">
        <v>10000</v>
      </c>
      <c r="Q243">
        <f t="shared" si="9"/>
        <v>2025</v>
      </c>
      <c r="R243">
        <f t="shared" si="10"/>
        <v>6</v>
      </c>
      <c r="S243" t="str">
        <f t="shared" si="11"/>
        <v>June</v>
      </c>
    </row>
    <row r="244" spans="1:19">
      <c r="A244" t="s">
        <v>432</v>
      </c>
      <c r="B244" s="2">
        <v>45837</v>
      </c>
      <c r="C244" t="s">
        <v>195</v>
      </c>
      <c r="D244" t="s">
        <v>106</v>
      </c>
      <c r="E244" t="s">
        <v>55</v>
      </c>
      <c r="F244" t="s">
        <v>150</v>
      </c>
      <c r="G244" t="s">
        <v>21</v>
      </c>
      <c r="H244" t="s">
        <v>83</v>
      </c>
      <c r="I244">
        <v>4</v>
      </c>
      <c r="J244">
        <v>4500</v>
      </c>
      <c r="K244">
        <v>0.1</v>
      </c>
      <c r="L244" t="s">
        <v>50</v>
      </c>
      <c r="M244" t="s">
        <v>33</v>
      </c>
      <c r="N244">
        <v>18000</v>
      </c>
      <c r="O244">
        <v>1800</v>
      </c>
      <c r="P244">
        <v>16200</v>
      </c>
      <c r="Q244">
        <f t="shared" si="9"/>
        <v>2025</v>
      </c>
      <c r="R244">
        <f t="shared" si="10"/>
        <v>6</v>
      </c>
      <c r="S244" t="str">
        <f t="shared" si="11"/>
        <v>June</v>
      </c>
    </row>
    <row r="245" spans="1:19">
      <c r="A245" t="s">
        <v>433</v>
      </c>
      <c r="B245" s="2">
        <v>45837</v>
      </c>
      <c r="C245" t="s">
        <v>434</v>
      </c>
      <c r="D245" t="s">
        <v>86</v>
      </c>
      <c r="E245" t="s">
        <v>37</v>
      </c>
      <c r="F245" t="s">
        <v>136</v>
      </c>
      <c r="G245" t="s">
        <v>21</v>
      </c>
      <c r="H245" t="s">
        <v>181</v>
      </c>
      <c r="I245">
        <v>1</v>
      </c>
      <c r="J245">
        <v>25000</v>
      </c>
      <c r="K245">
        <v>0.05</v>
      </c>
      <c r="L245" t="s">
        <v>50</v>
      </c>
      <c r="M245" t="s">
        <v>39</v>
      </c>
      <c r="N245">
        <v>25000</v>
      </c>
      <c r="O245">
        <v>1250</v>
      </c>
      <c r="P245">
        <v>23750</v>
      </c>
      <c r="Q245">
        <f t="shared" si="9"/>
        <v>2025</v>
      </c>
      <c r="R245">
        <f t="shared" si="10"/>
        <v>6</v>
      </c>
      <c r="S245" t="str">
        <f t="shared" si="11"/>
        <v>June</v>
      </c>
    </row>
    <row r="246" spans="1:19">
      <c r="A246" t="s">
        <v>435</v>
      </c>
      <c r="B246" s="2">
        <v>45838</v>
      </c>
      <c r="C246" t="s">
        <v>252</v>
      </c>
      <c r="D246" t="s">
        <v>135</v>
      </c>
      <c r="E246" t="s">
        <v>62</v>
      </c>
      <c r="F246" t="s">
        <v>63</v>
      </c>
      <c r="G246" t="s">
        <v>57</v>
      </c>
      <c r="H246" t="s">
        <v>97</v>
      </c>
      <c r="I246">
        <v>5</v>
      </c>
      <c r="J246">
        <v>180</v>
      </c>
      <c r="K246">
        <v>0</v>
      </c>
      <c r="L246" t="s">
        <v>23</v>
      </c>
      <c r="M246" t="s">
        <v>107</v>
      </c>
      <c r="N246">
        <v>900</v>
      </c>
      <c r="O246">
        <v>0</v>
      </c>
      <c r="P246">
        <v>900</v>
      </c>
      <c r="Q246">
        <f t="shared" si="9"/>
        <v>2025</v>
      </c>
      <c r="R246">
        <f t="shared" si="10"/>
        <v>6</v>
      </c>
      <c r="S246" t="str">
        <f t="shared" si="11"/>
        <v>June</v>
      </c>
    </row>
    <row r="247" spans="1:19">
      <c r="A247" t="s">
        <v>436</v>
      </c>
      <c r="B247" s="2">
        <v>45838</v>
      </c>
      <c r="C247" t="s">
        <v>171</v>
      </c>
      <c r="D247" t="s">
        <v>115</v>
      </c>
      <c r="E247" t="s">
        <v>28</v>
      </c>
      <c r="F247" t="s">
        <v>233</v>
      </c>
      <c r="G247" t="s">
        <v>21</v>
      </c>
      <c r="H247" t="s">
        <v>181</v>
      </c>
      <c r="I247">
        <v>1</v>
      </c>
      <c r="J247">
        <v>2800</v>
      </c>
      <c r="K247">
        <v>0</v>
      </c>
      <c r="L247" t="s">
        <v>44</v>
      </c>
      <c r="M247" t="s">
        <v>107</v>
      </c>
      <c r="N247">
        <v>2800</v>
      </c>
      <c r="O247">
        <v>0</v>
      </c>
      <c r="P247">
        <v>2800</v>
      </c>
      <c r="Q247">
        <f t="shared" si="9"/>
        <v>2025</v>
      </c>
      <c r="R247">
        <f t="shared" si="10"/>
        <v>6</v>
      </c>
      <c r="S247" t="str">
        <f t="shared" si="11"/>
        <v>June</v>
      </c>
    </row>
    <row r="248" spans="1:19">
      <c r="A248" t="s">
        <v>437</v>
      </c>
      <c r="B248" s="2">
        <v>45838</v>
      </c>
      <c r="C248" t="s">
        <v>147</v>
      </c>
      <c r="D248" t="s">
        <v>18</v>
      </c>
      <c r="E248" t="s">
        <v>55</v>
      </c>
      <c r="F248" t="s">
        <v>56</v>
      </c>
      <c r="G248" t="s">
        <v>21</v>
      </c>
      <c r="H248" t="s">
        <v>83</v>
      </c>
      <c r="I248">
        <v>2</v>
      </c>
      <c r="J248">
        <v>12000</v>
      </c>
      <c r="K248">
        <v>0.1</v>
      </c>
      <c r="L248" t="s">
        <v>32</v>
      </c>
      <c r="M248" t="s">
        <v>107</v>
      </c>
      <c r="N248">
        <v>24000</v>
      </c>
      <c r="O248">
        <v>2400</v>
      </c>
      <c r="P248">
        <v>21600</v>
      </c>
      <c r="Q248">
        <f t="shared" si="9"/>
        <v>2025</v>
      </c>
      <c r="R248">
        <f t="shared" si="10"/>
        <v>6</v>
      </c>
      <c r="S248" t="str">
        <f t="shared" si="11"/>
        <v>June</v>
      </c>
    </row>
    <row r="249" spans="1:19">
      <c r="A249" t="s">
        <v>438</v>
      </c>
      <c r="B249" s="2">
        <v>45838</v>
      </c>
      <c r="C249" t="s">
        <v>262</v>
      </c>
      <c r="D249" t="s">
        <v>89</v>
      </c>
      <c r="E249" t="s">
        <v>19</v>
      </c>
      <c r="F249" t="s">
        <v>124</v>
      </c>
      <c r="G249" t="s">
        <v>71</v>
      </c>
      <c r="H249" t="s">
        <v>128</v>
      </c>
      <c r="I249">
        <v>4</v>
      </c>
      <c r="J249">
        <v>7000</v>
      </c>
      <c r="K249">
        <v>0</v>
      </c>
      <c r="L249" t="s">
        <v>44</v>
      </c>
      <c r="M249" t="s">
        <v>91</v>
      </c>
      <c r="N249">
        <v>28000</v>
      </c>
      <c r="O249">
        <v>0</v>
      </c>
      <c r="P249">
        <v>28000</v>
      </c>
      <c r="Q249">
        <f t="shared" si="9"/>
        <v>2025</v>
      </c>
      <c r="R249">
        <f t="shared" si="10"/>
        <v>6</v>
      </c>
      <c r="S249" t="str">
        <f t="shared" si="11"/>
        <v>June</v>
      </c>
    </row>
    <row r="250" spans="1:19">
      <c r="A250" t="s">
        <v>439</v>
      </c>
      <c r="B250" s="2">
        <v>45838</v>
      </c>
      <c r="C250" t="s">
        <v>171</v>
      </c>
      <c r="D250" t="s">
        <v>86</v>
      </c>
      <c r="E250" t="s">
        <v>19</v>
      </c>
      <c r="F250" t="s">
        <v>124</v>
      </c>
      <c r="G250" t="s">
        <v>21</v>
      </c>
      <c r="H250" t="s">
        <v>22</v>
      </c>
      <c r="I250">
        <v>2</v>
      </c>
      <c r="J250">
        <v>7000</v>
      </c>
      <c r="K250">
        <v>0.1</v>
      </c>
      <c r="L250" t="s">
        <v>44</v>
      </c>
      <c r="M250" t="s">
        <v>112</v>
      </c>
      <c r="N250">
        <v>14000</v>
      </c>
      <c r="O250">
        <v>1400</v>
      </c>
      <c r="P250">
        <v>12600</v>
      </c>
      <c r="Q250">
        <f t="shared" si="9"/>
        <v>2025</v>
      </c>
      <c r="R250">
        <f t="shared" si="10"/>
        <v>6</v>
      </c>
      <c r="S250" t="str">
        <f t="shared" si="11"/>
        <v>June</v>
      </c>
    </row>
    <row r="251" spans="1:19">
      <c r="A251" t="s">
        <v>440</v>
      </c>
      <c r="B251" s="2">
        <v>45838</v>
      </c>
      <c r="C251" t="s">
        <v>441</v>
      </c>
      <c r="D251" t="s">
        <v>123</v>
      </c>
      <c r="E251" t="s">
        <v>19</v>
      </c>
      <c r="F251" t="s">
        <v>124</v>
      </c>
      <c r="G251" t="s">
        <v>30</v>
      </c>
      <c r="H251" t="s">
        <v>49</v>
      </c>
      <c r="I251">
        <v>5</v>
      </c>
      <c r="J251">
        <v>7000</v>
      </c>
      <c r="K251">
        <v>0.05</v>
      </c>
      <c r="L251" t="s">
        <v>23</v>
      </c>
      <c r="M251" t="s">
        <v>112</v>
      </c>
      <c r="N251">
        <v>35000</v>
      </c>
      <c r="O251">
        <v>1750</v>
      </c>
      <c r="P251">
        <v>33250</v>
      </c>
      <c r="Q251">
        <f t="shared" si="9"/>
        <v>2025</v>
      </c>
      <c r="R251">
        <f t="shared" si="10"/>
        <v>6</v>
      </c>
      <c r="S251" t="str">
        <f t="shared" si="11"/>
        <v>June</v>
      </c>
    </row>
    <row r="252" spans="1:19">
      <c r="A252" t="s">
        <v>442</v>
      </c>
      <c r="B252" s="2">
        <v>45839</v>
      </c>
      <c r="C252" t="s">
        <v>292</v>
      </c>
      <c r="D252" t="s">
        <v>106</v>
      </c>
      <c r="E252" t="s">
        <v>37</v>
      </c>
      <c r="F252" t="s">
        <v>43</v>
      </c>
      <c r="G252" t="s">
        <v>57</v>
      </c>
      <c r="H252" t="s">
        <v>75</v>
      </c>
      <c r="I252">
        <v>1</v>
      </c>
      <c r="J252">
        <v>1800</v>
      </c>
      <c r="K252">
        <v>0.05</v>
      </c>
      <c r="L252" t="s">
        <v>50</v>
      </c>
      <c r="M252" t="s">
        <v>45</v>
      </c>
      <c r="N252">
        <v>1800</v>
      </c>
      <c r="O252">
        <v>90</v>
      </c>
      <c r="P252">
        <v>1710</v>
      </c>
      <c r="Q252">
        <f t="shared" si="9"/>
        <v>2025</v>
      </c>
      <c r="R252">
        <f t="shared" si="10"/>
        <v>7</v>
      </c>
      <c r="S252" t="str">
        <f t="shared" si="11"/>
        <v>July</v>
      </c>
    </row>
    <row r="253" spans="1:19">
      <c r="A253" t="s">
        <v>443</v>
      </c>
      <c r="B253" s="2">
        <v>45840</v>
      </c>
      <c r="C253" t="s">
        <v>192</v>
      </c>
      <c r="D253" t="s">
        <v>61</v>
      </c>
      <c r="E253" t="s">
        <v>28</v>
      </c>
      <c r="F253" t="s">
        <v>130</v>
      </c>
      <c r="G253" t="s">
        <v>71</v>
      </c>
      <c r="H253" t="s">
        <v>72</v>
      </c>
      <c r="I253">
        <v>3</v>
      </c>
      <c r="J253">
        <v>2200</v>
      </c>
      <c r="K253">
        <v>0.15</v>
      </c>
      <c r="L253" t="s">
        <v>50</v>
      </c>
      <c r="M253" t="s">
        <v>45</v>
      </c>
      <c r="N253">
        <v>6600</v>
      </c>
      <c r="O253">
        <v>990</v>
      </c>
      <c r="P253">
        <v>5610</v>
      </c>
      <c r="Q253">
        <f t="shared" si="9"/>
        <v>2025</v>
      </c>
      <c r="R253">
        <f t="shared" si="10"/>
        <v>7</v>
      </c>
      <c r="S253" t="str">
        <f t="shared" si="11"/>
        <v>July</v>
      </c>
    </row>
    <row r="254" spans="1:19">
      <c r="A254" t="s">
        <v>444</v>
      </c>
      <c r="B254" s="2">
        <v>45840</v>
      </c>
      <c r="C254" t="s">
        <v>292</v>
      </c>
      <c r="D254" t="s">
        <v>81</v>
      </c>
      <c r="E254" t="s">
        <v>19</v>
      </c>
      <c r="F254" t="s">
        <v>20</v>
      </c>
      <c r="G254" t="s">
        <v>21</v>
      </c>
      <c r="H254" t="s">
        <v>22</v>
      </c>
      <c r="I254">
        <v>4</v>
      </c>
      <c r="J254">
        <v>9000</v>
      </c>
      <c r="K254">
        <v>0.05</v>
      </c>
      <c r="L254" t="s">
        <v>44</v>
      </c>
      <c r="M254" t="s">
        <v>45</v>
      </c>
      <c r="N254">
        <v>36000</v>
      </c>
      <c r="O254">
        <v>1800</v>
      </c>
      <c r="P254">
        <v>34200</v>
      </c>
      <c r="Q254">
        <f t="shared" si="9"/>
        <v>2025</v>
      </c>
      <c r="R254">
        <f t="shared" si="10"/>
        <v>7</v>
      </c>
      <c r="S254" t="str">
        <f t="shared" si="11"/>
        <v>July</v>
      </c>
    </row>
    <row r="255" spans="1:19">
      <c r="A255" t="s">
        <v>445</v>
      </c>
      <c r="B255" s="2">
        <v>45840</v>
      </c>
      <c r="C255" t="s">
        <v>384</v>
      </c>
      <c r="D255" t="s">
        <v>135</v>
      </c>
      <c r="E255" t="s">
        <v>28</v>
      </c>
      <c r="F255" t="s">
        <v>29</v>
      </c>
      <c r="G255" t="s">
        <v>57</v>
      </c>
      <c r="H255" t="s">
        <v>97</v>
      </c>
      <c r="I255">
        <v>2</v>
      </c>
      <c r="J255">
        <v>4000</v>
      </c>
      <c r="K255">
        <v>0.05</v>
      </c>
      <c r="L255" t="s">
        <v>50</v>
      </c>
      <c r="M255" t="s">
        <v>24</v>
      </c>
      <c r="N255">
        <v>8000</v>
      </c>
      <c r="O255">
        <v>400</v>
      </c>
      <c r="P255">
        <v>7600</v>
      </c>
      <c r="Q255">
        <f t="shared" si="9"/>
        <v>2025</v>
      </c>
      <c r="R255">
        <f t="shared" si="10"/>
        <v>7</v>
      </c>
      <c r="S255" t="str">
        <f t="shared" si="11"/>
        <v>July</v>
      </c>
    </row>
    <row r="256" spans="1:19">
      <c r="A256" t="s">
        <v>446</v>
      </c>
      <c r="B256" s="2">
        <v>45840</v>
      </c>
      <c r="C256" t="s">
        <v>216</v>
      </c>
      <c r="D256" t="s">
        <v>106</v>
      </c>
      <c r="E256" t="s">
        <v>37</v>
      </c>
      <c r="F256" t="s">
        <v>43</v>
      </c>
      <c r="G256" t="s">
        <v>30</v>
      </c>
      <c r="H256" t="s">
        <v>31</v>
      </c>
      <c r="I256">
        <v>3</v>
      </c>
      <c r="J256">
        <v>1800</v>
      </c>
      <c r="K256">
        <v>0.1</v>
      </c>
      <c r="L256" t="s">
        <v>50</v>
      </c>
      <c r="M256" t="s">
        <v>107</v>
      </c>
      <c r="N256">
        <v>5400</v>
      </c>
      <c r="O256">
        <v>540</v>
      </c>
      <c r="P256">
        <v>4860</v>
      </c>
      <c r="Q256">
        <f t="shared" si="9"/>
        <v>2025</v>
      </c>
      <c r="R256">
        <f t="shared" si="10"/>
        <v>7</v>
      </c>
      <c r="S256" t="str">
        <f t="shared" si="11"/>
        <v>July</v>
      </c>
    </row>
    <row r="257" spans="1:19">
      <c r="A257" t="s">
        <v>447</v>
      </c>
      <c r="B257" s="2">
        <v>45841</v>
      </c>
      <c r="C257" t="s">
        <v>448</v>
      </c>
      <c r="D257" t="s">
        <v>135</v>
      </c>
      <c r="E257" t="s">
        <v>55</v>
      </c>
      <c r="F257" t="s">
        <v>145</v>
      </c>
      <c r="G257" t="s">
        <v>71</v>
      </c>
      <c r="H257" t="s">
        <v>99</v>
      </c>
      <c r="I257">
        <v>4</v>
      </c>
      <c r="J257">
        <v>1800</v>
      </c>
      <c r="K257">
        <v>0.05</v>
      </c>
      <c r="L257" t="s">
        <v>32</v>
      </c>
      <c r="M257" t="s">
        <v>33</v>
      </c>
      <c r="N257">
        <v>7200</v>
      </c>
      <c r="O257">
        <v>360</v>
      </c>
      <c r="P257">
        <v>6840</v>
      </c>
      <c r="Q257">
        <f t="shared" si="9"/>
        <v>2025</v>
      </c>
      <c r="R257">
        <f t="shared" si="10"/>
        <v>7</v>
      </c>
      <c r="S257" t="str">
        <f t="shared" si="11"/>
        <v>July</v>
      </c>
    </row>
    <row r="258" spans="1:19">
      <c r="A258" t="s">
        <v>449</v>
      </c>
      <c r="B258" s="2">
        <v>45841</v>
      </c>
      <c r="C258" t="s">
        <v>96</v>
      </c>
      <c r="D258" t="s">
        <v>123</v>
      </c>
      <c r="E258" t="s">
        <v>28</v>
      </c>
      <c r="F258" t="s">
        <v>130</v>
      </c>
      <c r="G258" t="s">
        <v>57</v>
      </c>
      <c r="H258" t="s">
        <v>58</v>
      </c>
      <c r="I258">
        <v>4</v>
      </c>
      <c r="J258">
        <v>2200</v>
      </c>
      <c r="K258">
        <v>0</v>
      </c>
      <c r="L258" t="s">
        <v>23</v>
      </c>
      <c r="M258" t="s">
        <v>45</v>
      </c>
      <c r="N258">
        <v>8800</v>
      </c>
      <c r="O258">
        <v>0</v>
      </c>
      <c r="P258">
        <v>8800</v>
      </c>
      <c r="Q258">
        <f t="shared" si="9"/>
        <v>2025</v>
      </c>
      <c r="R258">
        <f t="shared" si="10"/>
        <v>7</v>
      </c>
      <c r="S258" t="str">
        <f t="shared" si="11"/>
        <v>July</v>
      </c>
    </row>
    <row r="259" spans="1:19">
      <c r="A259" t="s">
        <v>450</v>
      </c>
      <c r="B259" s="2">
        <v>45841</v>
      </c>
      <c r="C259" t="s">
        <v>134</v>
      </c>
      <c r="D259" t="s">
        <v>69</v>
      </c>
      <c r="E259" t="s">
        <v>62</v>
      </c>
      <c r="F259" t="s">
        <v>78</v>
      </c>
      <c r="G259" t="s">
        <v>21</v>
      </c>
      <c r="H259" t="s">
        <v>185</v>
      </c>
      <c r="I259">
        <v>4</v>
      </c>
      <c r="J259">
        <v>250</v>
      </c>
      <c r="K259">
        <v>0</v>
      </c>
      <c r="L259" t="s">
        <v>32</v>
      </c>
      <c r="M259" t="s">
        <v>112</v>
      </c>
      <c r="N259">
        <v>1000</v>
      </c>
      <c r="O259">
        <v>0</v>
      </c>
      <c r="P259">
        <v>1000</v>
      </c>
      <c r="Q259">
        <f t="shared" ref="Q259:Q322" si="12">YEAR(B259)</f>
        <v>2025</v>
      </c>
      <c r="R259">
        <f t="shared" ref="R259:R322" si="13">MONTH(B259)</f>
        <v>7</v>
      </c>
      <c r="S259" t="str">
        <f t="shared" ref="S259:S322" si="14">TEXT(B259,"mmmm")</f>
        <v>July</v>
      </c>
    </row>
    <row r="260" spans="1:19">
      <c r="A260" t="s">
        <v>451</v>
      </c>
      <c r="B260" s="2">
        <v>45844</v>
      </c>
      <c r="C260" t="s">
        <v>93</v>
      </c>
      <c r="D260" t="s">
        <v>115</v>
      </c>
      <c r="E260" t="s">
        <v>28</v>
      </c>
      <c r="F260" t="s">
        <v>148</v>
      </c>
      <c r="G260" t="s">
        <v>57</v>
      </c>
      <c r="H260" t="s">
        <v>58</v>
      </c>
      <c r="I260">
        <v>1</v>
      </c>
      <c r="J260">
        <v>1800</v>
      </c>
      <c r="K260">
        <v>0.1</v>
      </c>
      <c r="L260" t="s">
        <v>23</v>
      </c>
      <c r="M260" t="s">
        <v>33</v>
      </c>
      <c r="N260">
        <v>1800</v>
      </c>
      <c r="O260">
        <v>180</v>
      </c>
      <c r="P260">
        <v>1620</v>
      </c>
      <c r="Q260">
        <f t="shared" si="12"/>
        <v>2025</v>
      </c>
      <c r="R260">
        <f t="shared" si="13"/>
        <v>7</v>
      </c>
      <c r="S260" t="str">
        <f t="shared" si="14"/>
        <v>July</v>
      </c>
    </row>
    <row r="261" spans="1:19">
      <c r="A261" t="s">
        <v>452</v>
      </c>
      <c r="B261" s="2">
        <v>45845</v>
      </c>
      <c r="C261" t="s">
        <v>453</v>
      </c>
      <c r="D261" t="s">
        <v>54</v>
      </c>
      <c r="E261" t="s">
        <v>55</v>
      </c>
      <c r="F261" t="s">
        <v>145</v>
      </c>
      <c r="G261" t="s">
        <v>57</v>
      </c>
      <c r="H261" t="s">
        <v>75</v>
      </c>
      <c r="I261">
        <v>2</v>
      </c>
      <c r="J261">
        <v>1800</v>
      </c>
      <c r="K261">
        <v>0</v>
      </c>
      <c r="L261" t="s">
        <v>44</v>
      </c>
      <c r="M261" t="s">
        <v>51</v>
      </c>
      <c r="N261">
        <v>3600</v>
      </c>
      <c r="O261">
        <v>0</v>
      </c>
      <c r="P261">
        <v>3600</v>
      </c>
      <c r="Q261">
        <f t="shared" si="12"/>
        <v>2025</v>
      </c>
      <c r="R261">
        <f t="shared" si="13"/>
        <v>7</v>
      </c>
      <c r="S261" t="str">
        <f t="shared" si="14"/>
        <v>July</v>
      </c>
    </row>
    <row r="262" spans="1:19">
      <c r="A262" t="s">
        <v>454</v>
      </c>
      <c r="B262" s="2">
        <v>45846</v>
      </c>
      <c r="C262" t="s">
        <v>47</v>
      </c>
      <c r="D262" t="s">
        <v>81</v>
      </c>
      <c r="E262" t="s">
        <v>62</v>
      </c>
      <c r="F262" t="s">
        <v>169</v>
      </c>
      <c r="G262" t="s">
        <v>30</v>
      </c>
      <c r="H262" t="s">
        <v>125</v>
      </c>
      <c r="I262">
        <v>5</v>
      </c>
      <c r="J262">
        <v>1200</v>
      </c>
      <c r="K262">
        <v>0.05</v>
      </c>
      <c r="L262" t="s">
        <v>44</v>
      </c>
      <c r="M262" t="s">
        <v>91</v>
      </c>
      <c r="N262">
        <v>6000</v>
      </c>
      <c r="O262">
        <v>300</v>
      </c>
      <c r="P262">
        <v>5700</v>
      </c>
      <c r="Q262">
        <f t="shared" si="12"/>
        <v>2025</v>
      </c>
      <c r="R262">
        <f t="shared" si="13"/>
        <v>7</v>
      </c>
      <c r="S262" t="str">
        <f t="shared" si="14"/>
        <v>July</v>
      </c>
    </row>
    <row r="263" spans="1:19">
      <c r="A263" t="s">
        <v>455</v>
      </c>
      <c r="B263" s="2">
        <v>45847</v>
      </c>
      <c r="C263" t="s">
        <v>297</v>
      </c>
      <c r="D263" t="s">
        <v>89</v>
      </c>
      <c r="E263" t="s">
        <v>37</v>
      </c>
      <c r="F263" t="s">
        <v>90</v>
      </c>
      <c r="G263" t="s">
        <v>30</v>
      </c>
      <c r="H263" t="s">
        <v>31</v>
      </c>
      <c r="I263">
        <v>1</v>
      </c>
      <c r="J263">
        <v>900</v>
      </c>
      <c r="K263">
        <v>0</v>
      </c>
      <c r="L263" t="s">
        <v>23</v>
      </c>
      <c r="M263" t="s">
        <v>51</v>
      </c>
      <c r="N263">
        <v>900</v>
      </c>
      <c r="O263">
        <v>0</v>
      </c>
      <c r="P263">
        <v>900</v>
      </c>
      <c r="Q263">
        <f t="shared" si="12"/>
        <v>2025</v>
      </c>
      <c r="R263">
        <f t="shared" si="13"/>
        <v>7</v>
      </c>
      <c r="S263" t="str">
        <f t="shared" si="14"/>
        <v>July</v>
      </c>
    </row>
    <row r="264" spans="1:19">
      <c r="A264" t="s">
        <v>456</v>
      </c>
      <c r="B264" s="2">
        <v>45847</v>
      </c>
      <c r="C264" t="s">
        <v>257</v>
      </c>
      <c r="D264" t="s">
        <v>81</v>
      </c>
      <c r="E264" t="s">
        <v>28</v>
      </c>
      <c r="F264" t="s">
        <v>233</v>
      </c>
      <c r="G264" t="s">
        <v>71</v>
      </c>
      <c r="H264" t="s">
        <v>128</v>
      </c>
      <c r="I264">
        <v>5</v>
      </c>
      <c r="J264">
        <v>2800</v>
      </c>
      <c r="K264">
        <v>0.1</v>
      </c>
      <c r="L264" t="s">
        <v>23</v>
      </c>
      <c r="M264" t="s">
        <v>24</v>
      </c>
      <c r="N264">
        <v>14000</v>
      </c>
      <c r="O264">
        <v>1400</v>
      </c>
      <c r="P264">
        <v>12600</v>
      </c>
      <c r="Q264">
        <f t="shared" si="12"/>
        <v>2025</v>
      </c>
      <c r="R264">
        <f t="shared" si="13"/>
        <v>7</v>
      </c>
      <c r="S264" t="str">
        <f t="shared" si="14"/>
        <v>July</v>
      </c>
    </row>
    <row r="265" spans="1:19">
      <c r="A265" t="s">
        <v>457</v>
      </c>
      <c r="B265" s="2">
        <v>45849</v>
      </c>
      <c r="C265" t="s">
        <v>85</v>
      </c>
      <c r="D265" t="s">
        <v>228</v>
      </c>
      <c r="E265" t="s">
        <v>55</v>
      </c>
      <c r="F265" t="s">
        <v>145</v>
      </c>
      <c r="G265" t="s">
        <v>30</v>
      </c>
      <c r="H265" t="s">
        <v>31</v>
      </c>
      <c r="I265">
        <v>4</v>
      </c>
      <c r="J265">
        <v>1800</v>
      </c>
      <c r="K265">
        <v>0</v>
      </c>
      <c r="L265" t="s">
        <v>32</v>
      </c>
      <c r="M265" t="s">
        <v>112</v>
      </c>
      <c r="N265">
        <v>7200</v>
      </c>
      <c r="O265">
        <v>0</v>
      </c>
      <c r="P265">
        <v>7200</v>
      </c>
      <c r="Q265">
        <f t="shared" si="12"/>
        <v>2025</v>
      </c>
      <c r="R265">
        <f t="shared" si="13"/>
        <v>7</v>
      </c>
      <c r="S265" t="str">
        <f t="shared" si="14"/>
        <v>July</v>
      </c>
    </row>
    <row r="266" spans="1:19">
      <c r="A266" t="s">
        <v>458</v>
      </c>
      <c r="B266" s="2">
        <v>45849</v>
      </c>
      <c r="C266" t="s">
        <v>341</v>
      </c>
      <c r="D266" t="s">
        <v>69</v>
      </c>
      <c r="E266" t="s">
        <v>55</v>
      </c>
      <c r="F266" t="s">
        <v>145</v>
      </c>
      <c r="G266" t="s">
        <v>71</v>
      </c>
      <c r="H266" t="s">
        <v>99</v>
      </c>
      <c r="I266">
        <v>1</v>
      </c>
      <c r="J266">
        <v>1800</v>
      </c>
      <c r="K266">
        <v>0</v>
      </c>
      <c r="L266" t="s">
        <v>50</v>
      </c>
      <c r="M266" t="s">
        <v>45</v>
      </c>
      <c r="N266">
        <v>1800</v>
      </c>
      <c r="O266">
        <v>0</v>
      </c>
      <c r="P266">
        <v>1800</v>
      </c>
      <c r="Q266">
        <f t="shared" si="12"/>
        <v>2025</v>
      </c>
      <c r="R266">
        <f t="shared" si="13"/>
        <v>7</v>
      </c>
      <c r="S266" t="str">
        <f t="shared" si="14"/>
        <v>July</v>
      </c>
    </row>
    <row r="267" spans="1:19">
      <c r="A267" t="s">
        <v>459</v>
      </c>
      <c r="B267" s="2">
        <v>45850</v>
      </c>
      <c r="C267" t="s">
        <v>264</v>
      </c>
      <c r="D267" t="s">
        <v>127</v>
      </c>
      <c r="E267" t="s">
        <v>28</v>
      </c>
      <c r="F267" t="s">
        <v>148</v>
      </c>
      <c r="G267" t="s">
        <v>30</v>
      </c>
      <c r="H267" t="s">
        <v>103</v>
      </c>
      <c r="I267">
        <v>1</v>
      </c>
      <c r="J267">
        <v>1800</v>
      </c>
      <c r="K267">
        <v>0.05</v>
      </c>
      <c r="L267" t="s">
        <v>44</v>
      </c>
      <c r="M267" t="s">
        <v>39</v>
      </c>
      <c r="N267">
        <v>1800</v>
      </c>
      <c r="O267">
        <v>90</v>
      </c>
      <c r="P267">
        <v>1710</v>
      </c>
      <c r="Q267">
        <f t="shared" si="12"/>
        <v>2025</v>
      </c>
      <c r="R267">
        <f t="shared" si="13"/>
        <v>7</v>
      </c>
      <c r="S267" t="str">
        <f t="shared" si="14"/>
        <v>July</v>
      </c>
    </row>
    <row r="268" spans="1:19">
      <c r="A268" t="s">
        <v>460</v>
      </c>
      <c r="B268" s="2">
        <v>45850</v>
      </c>
      <c r="C268" t="s">
        <v>305</v>
      </c>
      <c r="D268" t="s">
        <v>69</v>
      </c>
      <c r="E268" t="s">
        <v>37</v>
      </c>
      <c r="F268" t="s">
        <v>43</v>
      </c>
      <c r="G268" t="s">
        <v>57</v>
      </c>
      <c r="H268" t="s">
        <v>142</v>
      </c>
      <c r="I268">
        <v>5</v>
      </c>
      <c r="J268">
        <v>1800</v>
      </c>
      <c r="K268">
        <v>0</v>
      </c>
      <c r="L268" t="s">
        <v>50</v>
      </c>
      <c r="M268" t="s">
        <v>112</v>
      </c>
      <c r="N268">
        <v>9000</v>
      </c>
      <c r="O268">
        <v>0</v>
      </c>
      <c r="P268">
        <v>9000</v>
      </c>
      <c r="Q268">
        <f t="shared" si="12"/>
        <v>2025</v>
      </c>
      <c r="R268">
        <f t="shared" si="13"/>
        <v>7</v>
      </c>
      <c r="S268" t="str">
        <f t="shared" si="14"/>
        <v>July</v>
      </c>
    </row>
    <row r="269" spans="1:19">
      <c r="A269" t="s">
        <v>461</v>
      </c>
      <c r="B269" s="2">
        <v>45850</v>
      </c>
      <c r="C269" t="s">
        <v>339</v>
      </c>
      <c r="D269" t="s">
        <v>102</v>
      </c>
      <c r="E269" t="s">
        <v>19</v>
      </c>
      <c r="F269" t="s">
        <v>124</v>
      </c>
      <c r="G269" t="s">
        <v>21</v>
      </c>
      <c r="H269" t="s">
        <v>185</v>
      </c>
      <c r="I269">
        <v>1</v>
      </c>
      <c r="J269">
        <v>7000</v>
      </c>
      <c r="K269">
        <v>0.05</v>
      </c>
      <c r="L269" t="s">
        <v>44</v>
      </c>
      <c r="M269" t="s">
        <v>24</v>
      </c>
      <c r="N269">
        <v>7000</v>
      </c>
      <c r="O269">
        <v>350</v>
      </c>
      <c r="P269">
        <v>6650</v>
      </c>
      <c r="Q269">
        <f t="shared" si="12"/>
        <v>2025</v>
      </c>
      <c r="R269">
        <f t="shared" si="13"/>
        <v>7</v>
      </c>
      <c r="S269" t="str">
        <f t="shared" si="14"/>
        <v>July</v>
      </c>
    </row>
    <row r="270" spans="1:19">
      <c r="A270" t="s">
        <v>462</v>
      </c>
      <c r="B270" s="2">
        <v>45850</v>
      </c>
      <c r="C270" t="s">
        <v>141</v>
      </c>
      <c r="D270" t="s">
        <v>81</v>
      </c>
      <c r="E270" t="s">
        <v>37</v>
      </c>
      <c r="F270" t="s">
        <v>166</v>
      </c>
      <c r="G270" t="s">
        <v>71</v>
      </c>
      <c r="H270" t="s">
        <v>187</v>
      </c>
      <c r="I270">
        <v>1</v>
      </c>
      <c r="J270">
        <v>15000</v>
      </c>
      <c r="K270">
        <v>0</v>
      </c>
      <c r="L270" t="s">
        <v>23</v>
      </c>
      <c r="M270" t="s">
        <v>33</v>
      </c>
      <c r="N270">
        <v>15000</v>
      </c>
      <c r="O270">
        <v>0</v>
      </c>
      <c r="P270">
        <v>15000</v>
      </c>
      <c r="Q270">
        <f t="shared" si="12"/>
        <v>2025</v>
      </c>
      <c r="R270">
        <f t="shared" si="13"/>
        <v>7</v>
      </c>
      <c r="S270" t="str">
        <f t="shared" si="14"/>
        <v>July</v>
      </c>
    </row>
    <row r="271" spans="1:19">
      <c r="A271" t="s">
        <v>463</v>
      </c>
      <c r="B271" s="2">
        <v>45851</v>
      </c>
      <c r="C271" t="s">
        <v>247</v>
      </c>
      <c r="D271" t="s">
        <v>36</v>
      </c>
      <c r="E271" t="s">
        <v>19</v>
      </c>
      <c r="F271" t="s">
        <v>139</v>
      </c>
      <c r="G271" t="s">
        <v>57</v>
      </c>
      <c r="H271" t="s">
        <v>75</v>
      </c>
      <c r="I271">
        <v>3</v>
      </c>
      <c r="J271">
        <v>6000</v>
      </c>
      <c r="K271">
        <v>0.05</v>
      </c>
      <c r="L271" t="s">
        <v>44</v>
      </c>
      <c r="M271" t="s">
        <v>24</v>
      </c>
      <c r="N271">
        <v>18000</v>
      </c>
      <c r="O271">
        <v>900</v>
      </c>
      <c r="P271">
        <v>17100</v>
      </c>
      <c r="Q271">
        <f t="shared" si="12"/>
        <v>2025</v>
      </c>
      <c r="R271">
        <f t="shared" si="13"/>
        <v>7</v>
      </c>
      <c r="S271" t="str">
        <f t="shared" si="14"/>
        <v>July</v>
      </c>
    </row>
    <row r="272" spans="1:19">
      <c r="A272" t="s">
        <v>464</v>
      </c>
      <c r="B272" s="2">
        <v>45853</v>
      </c>
      <c r="C272" t="s">
        <v>360</v>
      </c>
      <c r="D272" t="s">
        <v>54</v>
      </c>
      <c r="E272" t="s">
        <v>62</v>
      </c>
      <c r="F272" t="s">
        <v>293</v>
      </c>
      <c r="G272" t="s">
        <v>21</v>
      </c>
      <c r="H272" t="s">
        <v>83</v>
      </c>
      <c r="I272">
        <v>5</v>
      </c>
      <c r="J272">
        <v>500</v>
      </c>
      <c r="K272">
        <v>0</v>
      </c>
      <c r="L272" t="s">
        <v>44</v>
      </c>
      <c r="M272" t="s">
        <v>51</v>
      </c>
      <c r="N272">
        <v>2500</v>
      </c>
      <c r="O272">
        <v>0</v>
      </c>
      <c r="P272">
        <v>2500</v>
      </c>
      <c r="Q272">
        <f t="shared" si="12"/>
        <v>2025</v>
      </c>
      <c r="R272">
        <f t="shared" si="13"/>
        <v>7</v>
      </c>
      <c r="S272" t="str">
        <f t="shared" si="14"/>
        <v>July</v>
      </c>
    </row>
    <row r="273" spans="1:19">
      <c r="A273" t="s">
        <v>465</v>
      </c>
      <c r="B273" s="2">
        <v>45853</v>
      </c>
      <c r="C273" t="s">
        <v>160</v>
      </c>
      <c r="D273" t="s">
        <v>36</v>
      </c>
      <c r="E273" t="s">
        <v>28</v>
      </c>
      <c r="F273" t="s">
        <v>82</v>
      </c>
      <c r="G273" t="s">
        <v>21</v>
      </c>
      <c r="H273" t="s">
        <v>181</v>
      </c>
      <c r="I273">
        <v>3</v>
      </c>
      <c r="J273">
        <v>3500</v>
      </c>
      <c r="K273">
        <v>0.05</v>
      </c>
      <c r="L273" t="s">
        <v>23</v>
      </c>
      <c r="M273" t="s">
        <v>91</v>
      </c>
      <c r="N273">
        <v>10500</v>
      </c>
      <c r="O273">
        <v>525</v>
      </c>
      <c r="P273">
        <v>9975</v>
      </c>
      <c r="Q273">
        <f t="shared" si="12"/>
        <v>2025</v>
      </c>
      <c r="R273">
        <f t="shared" si="13"/>
        <v>7</v>
      </c>
      <c r="S273" t="str">
        <f t="shared" si="14"/>
        <v>July</v>
      </c>
    </row>
    <row r="274" spans="1:19">
      <c r="A274" t="s">
        <v>466</v>
      </c>
      <c r="B274" s="2">
        <v>45854</v>
      </c>
      <c r="C274" t="s">
        <v>272</v>
      </c>
      <c r="D274" t="s">
        <v>86</v>
      </c>
      <c r="E274" t="s">
        <v>37</v>
      </c>
      <c r="F274" t="s">
        <v>38</v>
      </c>
      <c r="G274" t="s">
        <v>57</v>
      </c>
      <c r="H274" t="s">
        <v>142</v>
      </c>
      <c r="I274">
        <v>1</v>
      </c>
      <c r="J274">
        <v>55000</v>
      </c>
      <c r="K274">
        <v>0.1</v>
      </c>
      <c r="L274" t="s">
        <v>50</v>
      </c>
      <c r="M274" t="s">
        <v>51</v>
      </c>
      <c r="N274">
        <v>55000</v>
      </c>
      <c r="O274">
        <v>5500</v>
      </c>
      <c r="P274">
        <v>49500</v>
      </c>
      <c r="Q274">
        <f t="shared" si="12"/>
        <v>2025</v>
      </c>
      <c r="R274">
        <f t="shared" si="13"/>
        <v>7</v>
      </c>
      <c r="S274" t="str">
        <f t="shared" si="14"/>
        <v>July</v>
      </c>
    </row>
    <row r="275" spans="1:19">
      <c r="A275" t="s">
        <v>467</v>
      </c>
      <c r="B275" s="2">
        <v>45855</v>
      </c>
      <c r="C275" t="s">
        <v>232</v>
      </c>
      <c r="D275" t="s">
        <v>89</v>
      </c>
      <c r="E275" t="s">
        <v>19</v>
      </c>
      <c r="F275" t="s">
        <v>124</v>
      </c>
      <c r="G275" t="s">
        <v>71</v>
      </c>
      <c r="H275" t="s">
        <v>128</v>
      </c>
      <c r="I275">
        <v>5</v>
      </c>
      <c r="J275">
        <v>7000</v>
      </c>
      <c r="K275">
        <v>0.05</v>
      </c>
      <c r="L275" t="s">
        <v>50</v>
      </c>
      <c r="M275" t="s">
        <v>39</v>
      </c>
      <c r="N275">
        <v>35000</v>
      </c>
      <c r="O275">
        <v>1750</v>
      </c>
      <c r="P275">
        <v>33250</v>
      </c>
      <c r="Q275">
        <f t="shared" si="12"/>
        <v>2025</v>
      </c>
      <c r="R275">
        <f t="shared" si="13"/>
        <v>7</v>
      </c>
      <c r="S275" t="str">
        <f t="shared" si="14"/>
        <v>July</v>
      </c>
    </row>
    <row r="276" spans="1:19">
      <c r="A276" t="s">
        <v>468</v>
      </c>
      <c r="B276" s="2">
        <v>45855</v>
      </c>
      <c r="C276" t="s">
        <v>349</v>
      </c>
      <c r="D276" t="s">
        <v>54</v>
      </c>
      <c r="E276" t="s">
        <v>28</v>
      </c>
      <c r="F276" t="s">
        <v>148</v>
      </c>
      <c r="G276" t="s">
        <v>57</v>
      </c>
      <c r="H276" t="s">
        <v>75</v>
      </c>
      <c r="I276">
        <v>4</v>
      </c>
      <c r="J276">
        <v>1800</v>
      </c>
      <c r="K276">
        <v>0.05</v>
      </c>
      <c r="L276" t="s">
        <v>50</v>
      </c>
      <c r="M276" t="s">
        <v>45</v>
      </c>
      <c r="N276">
        <v>7200</v>
      </c>
      <c r="O276">
        <v>360</v>
      </c>
      <c r="P276">
        <v>6840</v>
      </c>
      <c r="Q276">
        <f t="shared" si="12"/>
        <v>2025</v>
      </c>
      <c r="R276">
        <f t="shared" si="13"/>
        <v>7</v>
      </c>
      <c r="S276" t="str">
        <f t="shared" si="14"/>
        <v>July</v>
      </c>
    </row>
    <row r="277" spans="1:19">
      <c r="A277" t="s">
        <v>469</v>
      </c>
      <c r="B277" s="2">
        <v>45855</v>
      </c>
      <c r="C277" t="s">
        <v>336</v>
      </c>
      <c r="D277" t="s">
        <v>123</v>
      </c>
      <c r="E277" t="s">
        <v>19</v>
      </c>
      <c r="F277" t="s">
        <v>20</v>
      </c>
      <c r="G277" t="s">
        <v>57</v>
      </c>
      <c r="H277" t="s">
        <v>75</v>
      </c>
      <c r="I277">
        <v>3</v>
      </c>
      <c r="J277">
        <v>9000</v>
      </c>
      <c r="K277">
        <v>0.05</v>
      </c>
      <c r="L277" t="s">
        <v>50</v>
      </c>
      <c r="M277" t="s">
        <v>45</v>
      </c>
      <c r="N277">
        <v>27000</v>
      </c>
      <c r="O277">
        <v>1350</v>
      </c>
      <c r="P277">
        <v>25650</v>
      </c>
      <c r="Q277">
        <f t="shared" si="12"/>
        <v>2025</v>
      </c>
      <c r="R277">
        <f t="shared" si="13"/>
        <v>7</v>
      </c>
      <c r="S277" t="str">
        <f t="shared" si="14"/>
        <v>July</v>
      </c>
    </row>
    <row r="278" spans="1:19">
      <c r="A278" t="s">
        <v>470</v>
      </c>
      <c r="B278" s="2">
        <v>45856</v>
      </c>
      <c r="C278" t="s">
        <v>448</v>
      </c>
      <c r="D278" t="s">
        <v>120</v>
      </c>
      <c r="E278" t="s">
        <v>28</v>
      </c>
      <c r="F278" t="s">
        <v>82</v>
      </c>
      <c r="G278" t="s">
        <v>30</v>
      </c>
      <c r="H278" t="s">
        <v>125</v>
      </c>
      <c r="I278">
        <v>1</v>
      </c>
      <c r="J278">
        <v>3500</v>
      </c>
      <c r="K278">
        <v>0.05</v>
      </c>
      <c r="L278" t="s">
        <v>23</v>
      </c>
      <c r="M278" t="s">
        <v>33</v>
      </c>
      <c r="N278">
        <v>3500</v>
      </c>
      <c r="O278">
        <v>175</v>
      </c>
      <c r="P278">
        <v>3325</v>
      </c>
      <c r="Q278">
        <f t="shared" si="12"/>
        <v>2025</v>
      </c>
      <c r="R278">
        <f t="shared" si="13"/>
        <v>7</v>
      </c>
      <c r="S278" t="str">
        <f t="shared" si="14"/>
        <v>July</v>
      </c>
    </row>
    <row r="279" spans="1:19">
      <c r="A279" t="s">
        <v>471</v>
      </c>
      <c r="B279" s="2">
        <v>45857</v>
      </c>
      <c r="C279" t="s">
        <v>117</v>
      </c>
      <c r="D279" t="s">
        <v>123</v>
      </c>
      <c r="E279" t="s">
        <v>28</v>
      </c>
      <c r="F279" t="s">
        <v>29</v>
      </c>
      <c r="G279" t="s">
        <v>71</v>
      </c>
      <c r="H279" t="s">
        <v>72</v>
      </c>
      <c r="I279">
        <v>5</v>
      </c>
      <c r="J279">
        <v>4000</v>
      </c>
      <c r="K279">
        <v>0</v>
      </c>
      <c r="L279" t="s">
        <v>44</v>
      </c>
      <c r="M279" t="s">
        <v>51</v>
      </c>
      <c r="N279">
        <v>20000</v>
      </c>
      <c r="O279">
        <v>0</v>
      </c>
      <c r="P279">
        <v>20000</v>
      </c>
      <c r="Q279">
        <f t="shared" si="12"/>
        <v>2025</v>
      </c>
      <c r="R279">
        <f t="shared" si="13"/>
        <v>7</v>
      </c>
      <c r="S279" t="str">
        <f t="shared" si="14"/>
        <v>July</v>
      </c>
    </row>
    <row r="280" spans="1:19">
      <c r="A280" t="s">
        <v>472</v>
      </c>
      <c r="B280" s="2">
        <v>45858</v>
      </c>
      <c r="C280" t="s">
        <v>93</v>
      </c>
      <c r="D280" t="s">
        <v>18</v>
      </c>
      <c r="E280" t="s">
        <v>19</v>
      </c>
      <c r="F280" t="s">
        <v>48</v>
      </c>
      <c r="G280" t="s">
        <v>30</v>
      </c>
      <c r="H280" t="s">
        <v>125</v>
      </c>
      <c r="I280">
        <v>4</v>
      </c>
      <c r="J280">
        <v>7500</v>
      </c>
      <c r="K280">
        <v>0.15</v>
      </c>
      <c r="L280" t="s">
        <v>50</v>
      </c>
      <c r="M280" t="s">
        <v>107</v>
      </c>
      <c r="N280">
        <v>30000</v>
      </c>
      <c r="O280">
        <v>4500</v>
      </c>
      <c r="P280">
        <v>25500</v>
      </c>
      <c r="Q280">
        <f t="shared" si="12"/>
        <v>2025</v>
      </c>
      <c r="R280">
        <f t="shared" si="13"/>
        <v>7</v>
      </c>
      <c r="S280" t="str">
        <f t="shared" si="14"/>
        <v>July</v>
      </c>
    </row>
    <row r="281" spans="1:19">
      <c r="A281" t="s">
        <v>473</v>
      </c>
      <c r="B281" s="2">
        <v>45858</v>
      </c>
      <c r="C281" t="s">
        <v>360</v>
      </c>
      <c r="D281" t="s">
        <v>27</v>
      </c>
      <c r="E281" t="s">
        <v>55</v>
      </c>
      <c r="F281" t="s">
        <v>56</v>
      </c>
      <c r="G281" t="s">
        <v>57</v>
      </c>
      <c r="H281" t="s">
        <v>97</v>
      </c>
      <c r="I281">
        <v>4</v>
      </c>
      <c r="J281">
        <v>12000</v>
      </c>
      <c r="K281">
        <v>0.1</v>
      </c>
      <c r="L281" t="s">
        <v>23</v>
      </c>
      <c r="M281" t="s">
        <v>107</v>
      </c>
      <c r="N281">
        <v>48000</v>
      </c>
      <c r="O281">
        <v>4800</v>
      </c>
      <c r="P281">
        <v>43200</v>
      </c>
      <c r="Q281">
        <f t="shared" si="12"/>
        <v>2025</v>
      </c>
      <c r="R281">
        <f t="shared" si="13"/>
        <v>7</v>
      </c>
      <c r="S281" t="str">
        <f t="shared" si="14"/>
        <v>July</v>
      </c>
    </row>
    <row r="282" spans="1:19">
      <c r="A282" t="s">
        <v>474</v>
      </c>
      <c r="B282" s="2">
        <v>45859</v>
      </c>
      <c r="C282" t="s">
        <v>349</v>
      </c>
      <c r="D282" t="s">
        <v>81</v>
      </c>
      <c r="E282" t="s">
        <v>55</v>
      </c>
      <c r="F282" t="s">
        <v>145</v>
      </c>
      <c r="G282" t="s">
        <v>21</v>
      </c>
      <c r="H282" t="s">
        <v>181</v>
      </c>
      <c r="I282">
        <v>3</v>
      </c>
      <c r="J282">
        <v>1800</v>
      </c>
      <c r="K282">
        <v>0.05</v>
      </c>
      <c r="L282" t="s">
        <v>50</v>
      </c>
      <c r="M282" t="s">
        <v>24</v>
      </c>
      <c r="N282">
        <v>5400</v>
      </c>
      <c r="O282">
        <v>270</v>
      </c>
      <c r="P282">
        <v>5130</v>
      </c>
      <c r="Q282">
        <f t="shared" si="12"/>
        <v>2025</v>
      </c>
      <c r="R282">
        <f t="shared" si="13"/>
        <v>7</v>
      </c>
      <c r="S282" t="str">
        <f t="shared" si="14"/>
        <v>July</v>
      </c>
    </row>
    <row r="283" spans="1:19">
      <c r="A283" t="s">
        <v>475</v>
      </c>
      <c r="B283" s="2">
        <v>45862</v>
      </c>
      <c r="C283" t="s">
        <v>177</v>
      </c>
      <c r="D283" t="s">
        <v>115</v>
      </c>
      <c r="E283" t="s">
        <v>37</v>
      </c>
      <c r="F283" t="s">
        <v>43</v>
      </c>
      <c r="G283" t="s">
        <v>57</v>
      </c>
      <c r="H283" t="s">
        <v>142</v>
      </c>
      <c r="I283">
        <v>3</v>
      </c>
      <c r="J283">
        <v>1800</v>
      </c>
      <c r="K283">
        <v>0.05</v>
      </c>
      <c r="L283" t="s">
        <v>32</v>
      </c>
      <c r="M283" t="s">
        <v>45</v>
      </c>
      <c r="N283">
        <v>5400</v>
      </c>
      <c r="O283">
        <v>270</v>
      </c>
      <c r="P283">
        <v>5130</v>
      </c>
      <c r="Q283">
        <f t="shared" si="12"/>
        <v>2025</v>
      </c>
      <c r="R283">
        <f t="shared" si="13"/>
        <v>7</v>
      </c>
      <c r="S283" t="str">
        <f t="shared" si="14"/>
        <v>July</v>
      </c>
    </row>
    <row r="284" spans="1:19">
      <c r="A284" t="s">
        <v>476</v>
      </c>
      <c r="B284" s="2">
        <v>45864</v>
      </c>
      <c r="C284" t="s">
        <v>60</v>
      </c>
      <c r="D284" t="s">
        <v>36</v>
      </c>
      <c r="E284" t="s">
        <v>37</v>
      </c>
      <c r="F284" t="s">
        <v>90</v>
      </c>
      <c r="G284" t="s">
        <v>71</v>
      </c>
      <c r="H284" t="s">
        <v>128</v>
      </c>
      <c r="I284">
        <v>4</v>
      </c>
      <c r="J284">
        <v>900</v>
      </c>
      <c r="K284">
        <v>0.1</v>
      </c>
      <c r="L284" t="s">
        <v>44</v>
      </c>
      <c r="M284" t="s">
        <v>91</v>
      </c>
      <c r="N284">
        <v>3600</v>
      </c>
      <c r="O284">
        <v>360</v>
      </c>
      <c r="P284">
        <v>3240</v>
      </c>
      <c r="Q284">
        <f t="shared" si="12"/>
        <v>2025</v>
      </c>
      <c r="R284">
        <f t="shared" si="13"/>
        <v>7</v>
      </c>
      <c r="S284" t="str">
        <f t="shared" si="14"/>
        <v>July</v>
      </c>
    </row>
    <row r="285" spans="1:19">
      <c r="A285" t="s">
        <v>477</v>
      </c>
      <c r="B285" s="2">
        <v>45865</v>
      </c>
      <c r="C285" t="s">
        <v>183</v>
      </c>
      <c r="D285" t="s">
        <v>61</v>
      </c>
      <c r="E285" t="s">
        <v>28</v>
      </c>
      <c r="F285" t="s">
        <v>66</v>
      </c>
      <c r="G285" t="s">
        <v>30</v>
      </c>
      <c r="H285" t="s">
        <v>103</v>
      </c>
      <c r="I285">
        <v>2</v>
      </c>
      <c r="J285">
        <v>900</v>
      </c>
      <c r="K285">
        <v>0.15</v>
      </c>
      <c r="L285" t="s">
        <v>23</v>
      </c>
      <c r="M285" t="s">
        <v>91</v>
      </c>
      <c r="N285">
        <v>1800</v>
      </c>
      <c r="O285">
        <v>270</v>
      </c>
      <c r="P285">
        <v>1530</v>
      </c>
      <c r="Q285">
        <f t="shared" si="12"/>
        <v>2025</v>
      </c>
      <c r="R285">
        <f t="shared" si="13"/>
        <v>7</v>
      </c>
      <c r="S285" t="str">
        <f t="shared" si="14"/>
        <v>July</v>
      </c>
    </row>
    <row r="286" spans="1:19">
      <c r="A286" t="s">
        <v>478</v>
      </c>
      <c r="B286" s="2">
        <v>45866</v>
      </c>
      <c r="C286" t="s">
        <v>479</v>
      </c>
      <c r="D286" t="s">
        <v>228</v>
      </c>
      <c r="E286" t="s">
        <v>28</v>
      </c>
      <c r="F286" t="s">
        <v>148</v>
      </c>
      <c r="G286" t="s">
        <v>71</v>
      </c>
      <c r="H286" t="s">
        <v>72</v>
      </c>
      <c r="I286">
        <v>1</v>
      </c>
      <c r="J286">
        <v>1800</v>
      </c>
      <c r="K286">
        <v>0.05</v>
      </c>
      <c r="L286" t="s">
        <v>23</v>
      </c>
      <c r="M286" t="s">
        <v>91</v>
      </c>
      <c r="N286">
        <v>1800</v>
      </c>
      <c r="O286">
        <v>90</v>
      </c>
      <c r="P286">
        <v>1710</v>
      </c>
      <c r="Q286">
        <f t="shared" si="12"/>
        <v>2025</v>
      </c>
      <c r="R286">
        <f t="shared" si="13"/>
        <v>7</v>
      </c>
      <c r="S286" t="str">
        <f t="shared" si="14"/>
        <v>July</v>
      </c>
    </row>
    <row r="287" spans="1:19">
      <c r="A287" t="s">
        <v>480</v>
      </c>
      <c r="B287" s="2">
        <v>45867</v>
      </c>
      <c r="C287" t="s">
        <v>216</v>
      </c>
      <c r="D287" t="s">
        <v>89</v>
      </c>
      <c r="E287" t="s">
        <v>37</v>
      </c>
      <c r="F287" t="s">
        <v>166</v>
      </c>
      <c r="G287" t="s">
        <v>30</v>
      </c>
      <c r="H287" t="s">
        <v>31</v>
      </c>
      <c r="I287">
        <v>3</v>
      </c>
      <c r="J287">
        <v>15000</v>
      </c>
      <c r="K287">
        <v>0.1</v>
      </c>
      <c r="L287" t="s">
        <v>32</v>
      </c>
      <c r="M287" t="s">
        <v>51</v>
      </c>
      <c r="N287">
        <v>45000</v>
      </c>
      <c r="O287">
        <v>4500</v>
      </c>
      <c r="P287">
        <v>40500</v>
      </c>
      <c r="Q287">
        <f t="shared" si="12"/>
        <v>2025</v>
      </c>
      <c r="R287">
        <f t="shared" si="13"/>
        <v>7</v>
      </c>
      <c r="S287" t="str">
        <f t="shared" si="14"/>
        <v>July</v>
      </c>
    </row>
    <row r="288" spans="1:19">
      <c r="A288" t="s">
        <v>481</v>
      </c>
      <c r="B288" s="2">
        <v>45867</v>
      </c>
      <c r="C288" t="s">
        <v>227</v>
      </c>
      <c r="D288" t="s">
        <v>135</v>
      </c>
      <c r="E288" t="s">
        <v>37</v>
      </c>
      <c r="F288" t="s">
        <v>196</v>
      </c>
      <c r="G288" t="s">
        <v>21</v>
      </c>
      <c r="H288" t="s">
        <v>22</v>
      </c>
      <c r="I288">
        <v>3</v>
      </c>
      <c r="J288">
        <v>2500</v>
      </c>
      <c r="K288">
        <v>0.1</v>
      </c>
      <c r="L288" t="s">
        <v>32</v>
      </c>
      <c r="M288" t="s">
        <v>107</v>
      </c>
      <c r="N288">
        <v>7500</v>
      </c>
      <c r="O288">
        <v>750</v>
      </c>
      <c r="P288">
        <v>6750</v>
      </c>
      <c r="Q288">
        <f t="shared" si="12"/>
        <v>2025</v>
      </c>
      <c r="R288">
        <f t="shared" si="13"/>
        <v>7</v>
      </c>
      <c r="S288" t="str">
        <f t="shared" si="14"/>
        <v>July</v>
      </c>
    </row>
    <row r="289" spans="1:19">
      <c r="A289" t="s">
        <v>482</v>
      </c>
      <c r="B289" s="2">
        <v>45868</v>
      </c>
      <c r="C289" t="s">
        <v>267</v>
      </c>
      <c r="D289" t="s">
        <v>36</v>
      </c>
      <c r="E289" t="s">
        <v>28</v>
      </c>
      <c r="F289" t="s">
        <v>233</v>
      </c>
      <c r="G289" t="s">
        <v>57</v>
      </c>
      <c r="H289" t="s">
        <v>97</v>
      </c>
      <c r="I289">
        <v>3</v>
      </c>
      <c r="J289">
        <v>2800</v>
      </c>
      <c r="K289">
        <v>0</v>
      </c>
      <c r="L289" t="s">
        <v>32</v>
      </c>
      <c r="M289" t="s">
        <v>33</v>
      </c>
      <c r="N289">
        <v>8400</v>
      </c>
      <c r="O289">
        <v>0</v>
      </c>
      <c r="P289">
        <v>8400</v>
      </c>
      <c r="Q289">
        <f t="shared" si="12"/>
        <v>2025</v>
      </c>
      <c r="R289">
        <f t="shared" si="13"/>
        <v>7</v>
      </c>
      <c r="S289" t="str">
        <f t="shared" si="14"/>
        <v>July</v>
      </c>
    </row>
    <row r="290" spans="1:19">
      <c r="A290" t="s">
        <v>483</v>
      </c>
      <c r="B290" s="2">
        <v>45868</v>
      </c>
      <c r="C290" t="s">
        <v>339</v>
      </c>
      <c r="D290" t="s">
        <v>18</v>
      </c>
      <c r="E290" t="s">
        <v>28</v>
      </c>
      <c r="F290" t="s">
        <v>29</v>
      </c>
      <c r="G290" t="s">
        <v>21</v>
      </c>
      <c r="H290" t="s">
        <v>83</v>
      </c>
      <c r="I290">
        <v>1</v>
      </c>
      <c r="J290">
        <v>4000</v>
      </c>
      <c r="K290">
        <v>0.05</v>
      </c>
      <c r="L290" t="s">
        <v>23</v>
      </c>
      <c r="M290" t="s">
        <v>24</v>
      </c>
      <c r="N290">
        <v>4000</v>
      </c>
      <c r="O290">
        <v>200</v>
      </c>
      <c r="P290">
        <v>3800</v>
      </c>
      <c r="Q290">
        <f t="shared" si="12"/>
        <v>2025</v>
      </c>
      <c r="R290">
        <f t="shared" si="13"/>
        <v>7</v>
      </c>
      <c r="S290" t="str">
        <f t="shared" si="14"/>
        <v>July</v>
      </c>
    </row>
    <row r="291" spans="1:19">
      <c r="A291" t="s">
        <v>484</v>
      </c>
      <c r="B291" s="2">
        <v>45868</v>
      </c>
      <c r="C291" t="s">
        <v>212</v>
      </c>
      <c r="D291" t="s">
        <v>61</v>
      </c>
      <c r="E291" t="s">
        <v>28</v>
      </c>
      <c r="F291" t="s">
        <v>82</v>
      </c>
      <c r="G291" t="s">
        <v>57</v>
      </c>
      <c r="H291" t="s">
        <v>75</v>
      </c>
      <c r="I291">
        <v>5</v>
      </c>
      <c r="J291">
        <v>3500</v>
      </c>
      <c r="K291">
        <v>0.05</v>
      </c>
      <c r="L291" t="s">
        <v>44</v>
      </c>
      <c r="M291" t="s">
        <v>112</v>
      </c>
      <c r="N291">
        <v>17500</v>
      </c>
      <c r="O291">
        <v>875</v>
      </c>
      <c r="P291">
        <v>16625</v>
      </c>
      <c r="Q291">
        <f t="shared" si="12"/>
        <v>2025</v>
      </c>
      <c r="R291">
        <f t="shared" si="13"/>
        <v>7</v>
      </c>
      <c r="S291" t="str">
        <f t="shared" si="14"/>
        <v>July</v>
      </c>
    </row>
    <row r="292" spans="1:19">
      <c r="A292" t="s">
        <v>485</v>
      </c>
      <c r="B292" s="2">
        <v>45868</v>
      </c>
      <c r="C292" t="s">
        <v>339</v>
      </c>
      <c r="D292" t="s">
        <v>61</v>
      </c>
      <c r="E292" t="s">
        <v>37</v>
      </c>
      <c r="F292" t="s">
        <v>90</v>
      </c>
      <c r="G292" t="s">
        <v>71</v>
      </c>
      <c r="H292" t="s">
        <v>72</v>
      </c>
      <c r="I292">
        <v>3</v>
      </c>
      <c r="J292">
        <v>900</v>
      </c>
      <c r="K292">
        <v>0</v>
      </c>
      <c r="L292" t="s">
        <v>23</v>
      </c>
      <c r="M292" t="s">
        <v>39</v>
      </c>
      <c r="N292">
        <v>2700</v>
      </c>
      <c r="O292">
        <v>0</v>
      </c>
      <c r="P292">
        <v>2700</v>
      </c>
      <c r="Q292">
        <f t="shared" si="12"/>
        <v>2025</v>
      </c>
      <c r="R292">
        <f t="shared" si="13"/>
        <v>7</v>
      </c>
      <c r="S292" t="str">
        <f t="shared" si="14"/>
        <v>July</v>
      </c>
    </row>
    <row r="293" spans="1:19">
      <c r="A293" t="s">
        <v>486</v>
      </c>
      <c r="B293" s="2">
        <v>45870</v>
      </c>
      <c r="C293" t="s">
        <v>305</v>
      </c>
      <c r="D293" t="s">
        <v>102</v>
      </c>
      <c r="E293" t="s">
        <v>37</v>
      </c>
      <c r="F293" t="s">
        <v>90</v>
      </c>
      <c r="G293" t="s">
        <v>30</v>
      </c>
      <c r="H293" t="s">
        <v>103</v>
      </c>
      <c r="I293">
        <v>5</v>
      </c>
      <c r="J293">
        <v>900</v>
      </c>
      <c r="K293">
        <v>0.1</v>
      </c>
      <c r="L293" t="s">
        <v>32</v>
      </c>
      <c r="M293" t="s">
        <v>33</v>
      </c>
      <c r="N293">
        <v>4500</v>
      </c>
      <c r="O293">
        <v>450</v>
      </c>
      <c r="P293">
        <v>4050</v>
      </c>
      <c r="Q293">
        <f t="shared" si="12"/>
        <v>2025</v>
      </c>
      <c r="R293">
        <f t="shared" si="13"/>
        <v>8</v>
      </c>
      <c r="S293" t="str">
        <f t="shared" si="14"/>
        <v>August</v>
      </c>
    </row>
    <row r="294" spans="1:19">
      <c r="A294" t="s">
        <v>487</v>
      </c>
      <c r="B294" s="2">
        <v>45870</v>
      </c>
      <c r="C294" t="s">
        <v>163</v>
      </c>
      <c r="D294" t="s">
        <v>120</v>
      </c>
      <c r="E294" t="s">
        <v>19</v>
      </c>
      <c r="F294" t="s">
        <v>124</v>
      </c>
      <c r="G294" t="s">
        <v>57</v>
      </c>
      <c r="H294" t="s">
        <v>142</v>
      </c>
      <c r="I294">
        <v>4</v>
      </c>
      <c r="J294">
        <v>7000</v>
      </c>
      <c r="K294">
        <v>0</v>
      </c>
      <c r="L294" t="s">
        <v>44</v>
      </c>
      <c r="M294" t="s">
        <v>112</v>
      </c>
      <c r="N294">
        <v>28000</v>
      </c>
      <c r="O294">
        <v>0</v>
      </c>
      <c r="P294">
        <v>28000</v>
      </c>
      <c r="Q294">
        <f t="shared" si="12"/>
        <v>2025</v>
      </c>
      <c r="R294">
        <f t="shared" si="13"/>
        <v>8</v>
      </c>
      <c r="S294" t="str">
        <f t="shared" si="14"/>
        <v>August</v>
      </c>
    </row>
    <row r="295" spans="1:19">
      <c r="A295" t="s">
        <v>488</v>
      </c>
      <c r="B295" s="2">
        <v>45872</v>
      </c>
      <c r="C295" t="s">
        <v>35</v>
      </c>
      <c r="D295" t="s">
        <v>135</v>
      </c>
      <c r="E295" t="s">
        <v>37</v>
      </c>
      <c r="F295" t="s">
        <v>196</v>
      </c>
      <c r="G295" t="s">
        <v>57</v>
      </c>
      <c r="H295" t="s">
        <v>75</v>
      </c>
      <c r="I295">
        <v>3</v>
      </c>
      <c r="J295">
        <v>2500</v>
      </c>
      <c r="K295">
        <v>0.05</v>
      </c>
      <c r="L295" t="s">
        <v>32</v>
      </c>
      <c r="M295" t="s">
        <v>91</v>
      </c>
      <c r="N295">
        <v>7500</v>
      </c>
      <c r="O295">
        <v>375</v>
      </c>
      <c r="P295">
        <v>7125</v>
      </c>
      <c r="Q295">
        <f t="shared" si="12"/>
        <v>2025</v>
      </c>
      <c r="R295">
        <f t="shared" si="13"/>
        <v>8</v>
      </c>
      <c r="S295" t="str">
        <f t="shared" si="14"/>
        <v>August</v>
      </c>
    </row>
    <row r="296" spans="1:19">
      <c r="A296" t="s">
        <v>489</v>
      </c>
      <c r="B296" s="2">
        <v>45873</v>
      </c>
      <c r="C296" t="s">
        <v>171</v>
      </c>
      <c r="D296" t="s">
        <v>135</v>
      </c>
      <c r="E296" t="s">
        <v>55</v>
      </c>
      <c r="F296" t="s">
        <v>213</v>
      </c>
      <c r="G296" t="s">
        <v>21</v>
      </c>
      <c r="H296" t="s">
        <v>22</v>
      </c>
      <c r="I296">
        <v>2</v>
      </c>
      <c r="J296">
        <v>8500</v>
      </c>
      <c r="K296">
        <v>0.1</v>
      </c>
      <c r="L296" t="s">
        <v>44</v>
      </c>
      <c r="M296" t="s">
        <v>107</v>
      </c>
      <c r="N296">
        <v>17000</v>
      </c>
      <c r="O296">
        <v>1700</v>
      </c>
      <c r="P296">
        <v>15300</v>
      </c>
      <c r="Q296">
        <f t="shared" si="12"/>
        <v>2025</v>
      </c>
      <c r="R296">
        <f t="shared" si="13"/>
        <v>8</v>
      </c>
      <c r="S296" t="str">
        <f t="shared" si="14"/>
        <v>August</v>
      </c>
    </row>
    <row r="297" spans="1:19">
      <c r="A297" t="s">
        <v>490</v>
      </c>
      <c r="B297" s="2">
        <v>45873</v>
      </c>
      <c r="C297" t="s">
        <v>297</v>
      </c>
      <c r="D297" t="s">
        <v>115</v>
      </c>
      <c r="E297" t="s">
        <v>62</v>
      </c>
      <c r="F297" t="s">
        <v>63</v>
      </c>
      <c r="G297" t="s">
        <v>21</v>
      </c>
      <c r="H297" t="s">
        <v>181</v>
      </c>
      <c r="I297">
        <v>5</v>
      </c>
      <c r="J297">
        <v>180</v>
      </c>
      <c r="K297">
        <v>0</v>
      </c>
      <c r="L297" t="s">
        <v>23</v>
      </c>
      <c r="M297" t="s">
        <v>91</v>
      </c>
      <c r="N297">
        <v>900</v>
      </c>
      <c r="O297">
        <v>0</v>
      </c>
      <c r="P297">
        <v>900</v>
      </c>
      <c r="Q297">
        <f t="shared" si="12"/>
        <v>2025</v>
      </c>
      <c r="R297">
        <f t="shared" si="13"/>
        <v>8</v>
      </c>
      <c r="S297" t="str">
        <f t="shared" si="14"/>
        <v>August</v>
      </c>
    </row>
    <row r="298" spans="1:19">
      <c r="A298" t="s">
        <v>491</v>
      </c>
      <c r="B298" s="2">
        <v>45875</v>
      </c>
      <c r="C298" t="s">
        <v>372</v>
      </c>
      <c r="D298" t="s">
        <v>102</v>
      </c>
      <c r="E298" t="s">
        <v>37</v>
      </c>
      <c r="F298" t="s">
        <v>90</v>
      </c>
      <c r="G298" t="s">
        <v>30</v>
      </c>
      <c r="H298" t="s">
        <v>49</v>
      </c>
      <c r="I298">
        <v>1</v>
      </c>
      <c r="J298">
        <v>900</v>
      </c>
      <c r="K298">
        <v>0.15</v>
      </c>
      <c r="L298" t="s">
        <v>32</v>
      </c>
      <c r="M298" t="s">
        <v>39</v>
      </c>
      <c r="N298">
        <v>900</v>
      </c>
      <c r="O298">
        <v>135</v>
      </c>
      <c r="P298">
        <v>765</v>
      </c>
      <c r="Q298">
        <f t="shared" si="12"/>
        <v>2025</v>
      </c>
      <c r="R298">
        <f t="shared" si="13"/>
        <v>8</v>
      </c>
      <c r="S298" t="str">
        <f t="shared" si="14"/>
        <v>August</v>
      </c>
    </row>
    <row r="299" spans="1:19">
      <c r="A299" t="s">
        <v>492</v>
      </c>
      <c r="B299" s="2">
        <v>45875</v>
      </c>
      <c r="C299" t="s">
        <v>200</v>
      </c>
      <c r="D299" t="s">
        <v>135</v>
      </c>
      <c r="E299" t="s">
        <v>62</v>
      </c>
      <c r="F299" t="s">
        <v>63</v>
      </c>
      <c r="G299" t="s">
        <v>57</v>
      </c>
      <c r="H299" t="s">
        <v>75</v>
      </c>
      <c r="I299">
        <v>5</v>
      </c>
      <c r="J299">
        <v>180</v>
      </c>
      <c r="K299">
        <v>0.05</v>
      </c>
      <c r="L299" t="s">
        <v>50</v>
      </c>
      <c r="M299" t="s">
        <v>51</v>
      </c>
      <c r="N299">
        <v>900</v>
      </c>
      <c r="O299">
        <v>45</v>
      </c>
      <c r="P299">
        <v>855</v>
      </c>
      <c r="Q299">
        <f t="shared" si="12"/>
        <v>2025</v>
      </c>
      <c r="R299">
        <f t="shared" si="13"/>
        <v>8</v>
      </c>
      <c r="S299" t="str">
        <f t="shared" si="14"/>
        <v>August</v>
      </c>
    </row>
    <row r="300" spans="1:19">
      <c r="A300" t="s">
        <v>493</v>
      </c>
      <c r="B300" s="2">
        <v>45875</v>
      </c>
      <c r="C300" t="s">
        <v>93</v>
      </c>
      <c r="D300" t="s">
        <v>27</v>
      </c>
      <c r="E300" t="s">
        <v>62</v>
      </c>
      <c r="F300" t="s">
        <v>293</v>
      </c>
      <c r="G300" t="s">
        <v>71</v>
      </c>
      <c r="H300" t="s">
        <v>187</v>
      </c>
      <c r="I300">
        <v>1</v>
      </c>
      <c r="J300">
        <v>500</v>
      </c>
      <c r="K300">
        <v>0.1</v>
      </c>
      <c r="L300" t="s">
        <v>23</v>
      </c>
      <c r="M300" t="s">
        <v>45</v>
      </c>
      <c r="N300">
        <v>500</v>
      </c>
      <c r="O300">
        <v>50</v>
      </c>
      <c r="P300">
        <v>450</v>
      </c>
      <c r="Q300">
        <f t="shared" si="12"/>
        <v>2025</v>
      </c>
      <c r="R300">
        <f t="shared" si="13"/>
        <v>8</v>
      </c>
      <c r="S300" t="str">
        <f t="shared" si="14"/>
        <v>August</v>
      </c>
    </row>
    <row r="301" spans="1:19">
      <c r="A301" t="s">
        <v>494</v>
      </c>
      <c r="B301" s="2">
        <v>45876</v>
      </c>
      <c r="C301" t="s">
        <v>147</v>
      </c>
      <c r="D301" t="s">
        <v>69</v>
      </c>
      <c r="E301" t="s">
        <v>19</v>
      </c>
      <c r="F301" t="s">
        <v>70</v>
      </c>
      <c r="G301" t="s">
        <v>30</v>
      </c>
      <c r="H301" t="s">
        <v>49</v>
      </c>
      <c r="I301">
        <v>2</v>
      </c>
      <c r="J301">
        <v>6500</v>
      </c>
      <c r="K301">
        <v>0</v>
      </c>
      <c r="L301" t="s">
        <v>23</v>
      </c>
      <c r="M301" t="s">
        <v>39</v>
      </c>
      <c r="N301">
        <v>13000</v>
      </c>
      <c r="O301">
        <v>0</v>
      </c>
      <c r="P301">
        <v>13000</v>
      </c>
      <c r="Q301">
        <f t="shared" si="12"/>
        <v>2025</v>
      </c>
      <c r="R301">
        <f t="shared" si="13"/>
        <v>8</v>
      </c>
      <c r="S301" t="str">
        <f t="shared" si="14"/>
        <v>August</v>
      </c>
    </row>
    <row r="302" spans="1:19">
      <c r="A302" t="s">
        <v>495</v>
      </c>
      <c r="B302" s="2">
        <v>45877</v>
      </c>
      <c r="C302" t="s">
        <v>35</v>
      </c>
      <c r="D302" t="s">
        <v>135</v>
      </c>
      <c r="E302" t="s">
        <v>28</v>
      </c>
      <c r="F302" t="s">
        <v>148</v>
      </c>
      <c r="G302" t="s">
        <v>21</v>
      </c>
      <c r="H302" t="s">
        <v>22</v>
      </c>
      <c r="I302">
        <v>2</v>
      </c>
      <c r="J302">
        <v>1800</v>
      </c>
      <c r="K302">
        <v>0</v>
      </c>
      <c r="L302" t="s">
        <v>23</v>
      </c>
      <c r="M302" t="s">
        <v>39</v>
      </c>
      <c r="N302">
        <v>3600</v>
      </c>
      <c r="O302">
        <v>0</v>
      </c>
      <c r="P302">
        <v>3600</v>
      </c>
      <c r="Q302">
        <f t="shared" si="12"/>
        <v>2025</v>
      </c>
      <c r="R302">
        <f t="shared" si="13"/>
        <v>8</v>
      </c>
      <c r="S302" t="str">
        <f t="shared" si="14"/>
        <v>August</v>
      </c>
    </row>
    <row r="303" spans="1:19">
      <c r="A303" t="s">
        <v>496</v>
      </c>
      <c r="B303" s="2">
        <v>45877</v>
      </c>
      <c r="C303" t="s">
        <v>479</v>
      </c>
      <c r="D303" t="s">
        <v>42</v>
      </c>
      <c r="E303" t="s">
        <v>62</v>
      </c>
      <c r="F303" t="s">
        <v>293</v>
      </c>
      <c r="G303" t="s">
        <v>57</v>
      </c>
      <c r="H303" t="s">
        <v>142</v>
      </c>
      <c r="I303">
        <v>4</v>
      </c>
      <c r="J303">
        <v>500</v>
      </c>
      <c r="K303">
        <v>0</v>
      </c>
      <c r="L303" t="s">
        <v>23</v>
      </c>
      <c r="M303" t="s">
        <v>39</v>
      </c>
      <c r="N303">
        <v>2000</v>
      </c>
      <c r="O303">
        <v>0</v>
      </c>
      <c r="P303">
        <v>2000</v>
      </c>
      <c r="Q303">
        <f t="shared" si="12"/>
        <v>2025</v>
      </c>
      <c r="R303">
        <f t="shared" si="13"/>
        <v>8</v>
      </c>
      <c r="S303" t="str">
        <f t="shared" si="14"/>
        <v>August</v>
      </c>
    </row>
    <row r="304" spans="1:19">
      <c r="A304" t="s">
        <v>497</v>
      </c>
      <c r="B304" s="2">
        <v>45877</v>
      </c>
      <c r="C304" t="s">
        <v>223</v>
      </c>
      <c r="D304" t="s">
        <v>228</v>
      </c>
      <c r="E304" t="s">
        <v>37</v>
      </c>
      <c r="F304" t="s">
        <v>136</v>
      </c>
      <c r="G304" t="s">
        <v>30</v>
      </c>
      <c r="H304" t="s">
        <v>125</v>
      </c>
      <c r="I304">
        <v>5</v>
      </c>
      <c r="J304">
        <v>25000</v>
      </c>
      <c r="K304">
        <v>0</v>
      </c>
      <c r="L304" t="s">
        <v>50</v>
      </c>
      <c r="M304" t="s">
        <v>107</v>
      </c>
      <c r="N304">
        <v>125000</v>
      </c>
      <c r="O304">
        <v>0</v>
      </c>
      <c r="P304">
        <v>125000</v>
      </c>
      <c r="Q304">
        <f t="shared" si="12"/>
        <v>2025</v>
      </c>
      <c r="R304">
        <f t="shared" si="13"/>
        <v>8</v>
      </c>
      <c r="S304" t="str">
        <f t="shared" si="14"/>
        <v>August</v>
      </c>
    </row>
    <row r="305" spans="1:19">
      <c r="A305" t="s">
        <v>498</v>
      </c>
      <c r="B305" s="2">
        <v>45878</v>
      </c>
      <c r="C305" t="s">
        <v>208</v>
      </c>
      <c r="D305" t="s">
        <v>135</v>
      </c>
      <c r="E305" t="s">
        <v>55</v>
      </c>
      <c r="F305" t="s">
        <v>154</v>
      </c>
      <c r="G305" t="s">
        <v>71</v>
      </c>
      <c r="H305" t="s">
        <v>99</v>
      </c>
      <c r="I305">
        <v>3</v>
      </c>
      <c r="J305">
        <v>9500</v>
      </c>
      <c r="K305">
        <v>0.1</v>
      </c>
      <c r="L305" t="s">
        <v>50</v>
      </c>
      <c r="M305" t="s">
        <v>39</v>
      </c>
      <c r="N305">
        <v>28500</v>
      </c>
      <c r="O305">
        <v>2850</v>
      </c>
      <c r="P305">
        <v>25650</v>
      </c>
      <c r="Q305">
        <f t="shared" si="12"/>
        <v>2025</v>
      </c>
      <c r="R305">
        <f t="shared" si="13"/>
        <v>8</v>
      </c>
      <c r="S305" t="str">
        <f t="shared" si="14"/>
        <v>August</v>
      </c>
    </row>
    <row r="306" spans="1:19">
      <c r="A306" t="s">
        <v>499</v>
      </c>
      <c r="B306" s="2">
        <v>45879</v>
      </c>
      <c r="C306" t="s">
        <v>147</v>
      </c>
      <c r="D306" t="s">
        <v>42</v>
      </c>
      <c r="E306" t="s">
        <v>37</v>
      </c>
      <c r="F306" t="s">
        <v>136</v>
      </c>
      <c r="G306" t="s">
        <v>21</v>
      </c>
      <c r="H306" t="s">
        <v>181</v>
      </c>
      <c r="I306">
        <v>4</v>
      </c>
      <c r="J306">
        <v>25000</v>
      </c>
      <c r="K306">
        <v>0</v>
      </c>
      <c r="L306" t="s">
        <v>44</v>
      </c>
      <c r="M306" t="s">
        <v>33</v>
      </c>
      <c r="N306">
        <v>100000</v>
      </c>
      <c r="O306">
        <v>0</v>
      </c>
      <c r="P306">
        <v>100000</v>
      </c>
      <c r="Q306">
        <f t="shared" si="12"/>
        <v>2025</v>
      </c>
      <c r="R306">
        <f t="shared" si="13"/>
        <v>8</v>
      </c>
      <c r="S306" t="str">
        <f t="shared" si="14"/>
        <v>August</v>
      </c>
    </row>
    <row r="307" spans="1:19">
      <c r="A307" t="s">
        <v>500</v>
      </c>
      <c r="B307" s="2">
        <v>45880</v>
      </c>
      <c r="C307" t="s">
        <v>85</v>
      </c>
      <c r="D307" t="s">
        <v>120</v>
      </c>
      <c r="E307" t="s">
        <v>55</v>
      </c>
      <c r="F307" t="s">
        <v>145</v>
      </c>
      <c r="G307" t="s">
        <v>30</v>
      </c>
      <c r="H307" t="s">
        <v>49</v>
      </c>
      <c r="I307">
        <v>3</v>
      </c>
      <c r="J307">
        <v>1800</v>
      </c>
      <c r="K307">
        <v>0.1</v>
      </c>
      <c r="L307" t="s">
        <v>32</v>
      </c>
      <c r="M307" t="s">
        <v>91</v>
      </c>
      <c r="N307">
        <v>5400</v>
      </c>
      <c r="O307">
        <v>540</v>
      </c>
      <c r="P307">
        <v>4860</v>
      </c>
      <c r="Q307">
        <f t="shared" si="12"/>
        <v>2025</v>
      </c>
      <c r="R307">
        <f t="shared" si="13"/>
        <v>8</v>
      </c>
      <c r="S307" t="str">
        <f t="shared" si="14"/>
        <v>August</v>
      </c>
    </row>
    <row r="308" spans="1:19">
      <c r="A308" t="s">
        <v>501</v>
      </c>
      <c r="B308" s="2">
        <v>45882</v>
      </c>
      <c r="C308" t="s">
        <v>292</v>
      </c>
      <c r="D308" t="s">
        <v>74</v>
      </c>
      <c r="E308" t="s">
        <v>28</v>
      </c>
      <c r="F308" t="s">
        <v>66</v>
      </c>
      <c r="G308" t="s">
        <v>71</v>
      </c>
      <c r="H308" t="s">
        <v>72</v>
      </c>
      <c r="I308">
        <v>1</v>
      </c>
      <c r="J308">
        <v>900</v>
      </c>
      <c r="K308">
        <v>0.05</v>
      </c>
      <c r="L308" t="s">
        <v>32</v>
      </c>
      <c r="M308" t="s">
        <v>112</v>
      </c>
      <c r="N308">
        <v>900</v>
      </c>
      <c r="O308">
        <v>45</v>
      </c>
      <c r="P308">
        <v>855</v>
      </c>
      <c r="Q308">
        <f t="shared" si="12"/>
        <v>2025</v>
      </c>
      <c r="R308">
        <f t="shared" si="13"/>
        <v>8</v>
      </c>
      <c r="S308" t="str">
        <f t="shared" si="14"/>
        <v>August</v>
      </c>
    </row>
    <row r="309" spans="1:19">
      <c r="A309" t="s">
        <v>502</v>
      </c>
      <c r="B309" s="2">
        <v>45883</v>
      </c>
      <c r="C309" t="s">
        <v>479</v>
      </c>
      <c r="D309" t="s">
        <v>54</v>
      </c>
      <c r="E309" t="s">
        <v>37</v>
      </c>
      <c r="F309" t="s">
        <v>38</v>
      </c>
      <c r="G309" t="s">
        <v>30</v>
      </c>
      <c r="H309" t="s">
        <v>49</v>
      </c>
      <c r="I309">
        <v>4</v>
      </c>
      <c r="J309">
        <v>55000</v>
      </c>
      <c r="K309">
        <v>0.1</v>
      </c>
      <c r="L309" t="s">
        <v>32</v>
      </c>
      <c r="M309" t="s">
        <v>107</v>
      </c>
      <c r="N309">
        <v>220000</v>
      </c>
      <c r="O309">
        <v>22000</v>
      </c>
      <c r="P309">
        <v>198000</v>
      </c>
      <c r="Q309">
        <f t="shared" si="12"/>
        <v>2025</v>
      </c>
      <c r="R309">
        <f t="shared" si="13"/>
        <v>8</v>
      </c>
      <c r="S309" t="str">
        <f t="shared" si="14"/>
        <v>August</v>
      </c>
    </row>
    <row r="310" spans="1:19">
      <c r="A310" t="s">
        <v>503</v>
      </c>
      <c r="B310" s="2">
        <v>45883</v>
      </c>
      <c r="C310" t="s">
        <v>262</v>
      </c>
      <c r="D310" t="s">
        <v>86</v>
      </c>
      <c r="E310" t="s">
        <v>62</v>
      </c>
      <c r="F310" t="s">
        <v>63</v>
      </c>
      <c r="G310" t="s">
        <v>71</v>
      </c>
      <c r="H310" t="s">
        <v>72</v>
      </c>
      <c r="I310">
        <v>1</v>
      </c>
      <c r="J310">
        <v>180</v>
      </c>
      <c r="K310">
        <v>0.05</v>
      </c>
      <c r="L310" t="s">
        <v>44</v>
      </c>
      <c r="M310" t="s">
        <v>39</v>
      </c>
      <c r="N310">
        <v>180</v>
      </c>
      <c r="O310">
        <v>9</v>
      </c>
      <c r="P310">
        <v>171</v>
      </c>
      <c r="Q310">
        <f t="shared" si="12"/>
        <v>2025</v>
      </c>
      <c r="R310">
        <f t="shared" si="13"/>
        <v>8</v>
      </c>
      <c r="S310" t="str">
        <f t="shared" si="14"/>
        <v>August</v>
      </c>
    </row>
    <row r="311" spans="1:19">
      <c r="A311" t="s">
        <v>504</v>
      </c>
      <c r="B311" s="2">
        <v>45883</v>
      </c>
      <c r="C311" t="s">
        <v>93</v>
      </c>
      <c r="D311" t="s">
        <v>54</v>
      </c>
      <c r="E311" t="s">
        <v>19</v>
      </c>
      <c r="F311" t="s">
        <v>139</v>
      </c>
      <c r="G311" t="s">
        <v>71</v>
      </c>
      <c r="H311" t="s">
        <v>128</v>
      </c>
      <c r="I311">
        <v>2</v>
      </c>
      <c r="J311">
        <v>6000</v>
      </c>
      <c r="K311">
        <v>0</v>
      </c>
      <c r="L311" t="s">
        <v>32</v>
      </c>
      <c r="M311" t="s">
        <v>45</v>
      </c>
      <c r="N311">
        <v>12000</v>
      </c>
      <c r="O311">
        <v>0</v>
      </c>
      <c r="P311">
        <v>12000</v>
      </c>
      <c r="Q311">
        <f t="shared" si="12"/>
        <v>2025</v>
      </c>
      <c r="R311">
        <f t="shared" si="13"/>
        <v>8</v>
      </c>
      <c r="S311" t="str">
        <f t="shared" si="14"/>
        <v>August</v>
      </c>
    </row>
    <row r="312" spans="1:19">
      <c r="A312" t="s">
        <v>505</v>
      </c>
      <c r="B312" s="2">
        <v>45884</v>
      </c>
      <c r="C312" t="s">
        <v>183</v>
      </c>
      <c r="D312" t="s">
        <v>123</v>
      </c>
      <c r="E312" t="s">
        <v>62</v>
      </c>
      <c r="F312" t="s">
        <v>293</v>
      </c>
      <c r="G312" t="s">
        <v>57</v>
      </c>
      <c r="H312" t="s">
        <v>75</v>
      </c>
      <c r="I312">
        <v>1</v>
      </c>
      <c r="J312">
        <v>500</v>
      </c>
      <c r="K312">
        <v>0.05</v>
      </c>
      <c r="L312" t="s">
        <v>23</v>
      </c>
      <c r="M312" t="s">
        <v>51</v>
      </c>
      <c r="N312">
        <v>500</v>
      </c>
      <c r="O312">
        <v>25</v>
      </c>
      <c r="P312">
        <v>475</v>
      </c>
      <c r="Q312">
        <f t="shared" si="12"/>
        <v>2025</v>
      </c>
      <c r="R312">
        <f t="shared" si="13"/>
        <v>8</v>
      </c>
      <c r="S312" t="str">
        <f t="shared" si="14"/>
        <v>August</v>
      </c>
    </row>
    <row r="313" spans="1:19">
      <c r="A313" t="s">
        <v>506</v>
      </c>
      <c r="B313" s="2">
        <v>45884</v>
      </c>
      <c r="C313" t="s">
        <v>260</v>
      </c>
      <c r="D313" t="s">
        <v>61</v>
      </c>
      <c r="E313" t="s">
        <v>19</v>
      </c>
      <c r="F313" t="s">
        <v>70</v>
      </c>
      <c r="G313" t="s">
        <v>21</v>
      </c>
      <c r="H313" t="s">
        <v>22</v>
      </c>
      <c r="I313">
        <v>2</v>
      </c>
      <c r="J313">
        <v>6500</v>
      </c>
      <c r="K313">
        <v>0.1</v>
      </c>
      <c r="L313" t="s">
        <v>44</v>
      </c>
      <c r="M313" t="s">
        <v>33</v>
      </c>
      <c r="N313">
        <v>13000</v>
      </c>
      <c r="O313">
        <v>1300</v>
      </c>
      <c r="P313">
        <v>11700</v>
      </c>
      <c r="Q313">
        <f t="shared" si="12"/>
        <v>2025</v>
      </c>
      <c r="R313">
        <f t="shared" si="13"/>
        <v>8</v>
      </c>
      <c r="S313" t="str">
        <f t="shared" si="14"/>
        <v>August</v>
      </c>
    </row>
    <row r="314" spans="1:19">
      <c r="A314" t="s">
        <v>507</v>
      </c>
      <c r="B314" s="2">
        <v>45884</v>
      </c>
      <c r="C314" t="s">
        <v>336</v>
      </c>
      <c r="D314" t="s">
        <v>115</v>
      </c>
      <c r="E314" t="s">
        <v>37</v>
      </c>
      <c r="F314" t="s">
        <v>196</v>
      </c>
      <c r="G314" t="s">
        <v>71</v>
      </c>
      <c r="H314" t="s">
        <v>72</v>
      </c>
      <c r="I314">
        <v>4</v>
      </c>
      <c r="J314">
        <v>2500</v>
      </c>
      <c r="K314">
        <v>0.05</v>
      </c>
      <c r="L314" t="s">
        <v>23</v>
      </c>
      <c r="M314" t="s">
        <v>107</v>
      </c>
      <c r="N314">
        <v>10000</v>
      </c>
      <c r="O314">
        <v>500</v>
      </c>
      <c r="P314">
        <v>9500</v>
      </c>
      <c r="Q314">
        <f t="shared" si="12"/>
        <v>2025</v>
      </c>
      <c r="R314">
        <f t="shared" si="13"/>
        <v>8</v>
      </c>
      <c r="S314" t="str">
        <f t="shared" si="14"/>
        <v>August</v>
      </c>
    </row>
    <row r="315" spans="1:19">
      <c r="A315" t="s">
        <v>508</v>
      </c>
      <c r="B315" s="2">
        <v>45885</v>
      </c>
      <c r="C315" t="s">
        <v>114</v>
      </c>
      <c r="D315" t="s">
        <v>153</v>
      </c>
      <c r="E315" t="s">
        <v>28</v>
      </c>
      <c r="F315" t="s">
        <v>148</v>
      </c>
      <c r="G315" t="s">
        <v>21</v>
      </c>
      <c r="H315" t="s">
        <v>22</v>
      </c>
      <c r="I315">
        <v>5</v>
      </c>
      <c r="J315">
        <v>1800</v>
      </c>
      <c r="K315">
        <v>0.05</v>
      </c>
      <c r="L315" t="s">
        <v>32</v>
      </c>
      <c r="M315" t="s">
        <v>51</v>
      </c>
      <c r="N315">
        <v>9000</v>
      </c>
      <c r="O315">
        <v>450</v>
      </c>
      <c r="P315">
        <v>8550</v>
      </c>
      <c r="Q315">
        <f t="shared" si="12"/>
        <v>2025</v>
      </c>
      <c r="R315">
        <f t="shared" si="13"/>
        <v>8</v>
      </c>
      <c r="S315" t="str">
        <f t="shared" si="14"/>
        <v>August</v>
      </c>
    </row>
    <row r="316" spans="1:19">
      <c r="A316" t="s">
        <v>509</v>
      </c>
      <c r="B316" s="2">
        <v>45885</v>
      </c>
      <c r="C316" t="s">
        <v>223</v>
      </c>
      <c r="D316" t="s">
        <v>36</v>
      </c>
      <c r="E316" t="s">
        <v>62</v>
      </c>
      <c r="F316" t="s">
        <v>94</v>
      </c>
      <c r="G316" t="s">
        <v>71</v>
      </c>
      <c r="H316" t="s">
        <v>72</v>
      </c>
      <c r="I316">
        <v>3</v>
      </c>
      <c r="J316">
        <v>120</v>
      </c>
      <c r="K316">
        <v>0.05</v>
      </c>
      <c r="L316" t="s">
        <v>50</v>
      </c>
      <c r="M316" t="s">
        <v>112</v>
      </c>
      <c r="N316">
        <v>360</v>
      </c>
      <c r="O316">
        <v>18</v>
      </c>
      <c r="P316">
        <v>342</v>
      </c>
      <c r="Q316">
        <f t="shared" si="12"/>
        <v>2025</v>
      </c>
      <c r="R316">
        <f t="shared" si="13"/>
        <v>8</v>
      </c>
      <c r="S316" t="str">
        <f t="shared" si="14"/>
        <v>August</v>
      </c>
    </row>
    <row r="317" spans="1:19">
      <c r="A317" t="s">
        <v>510</v>
      </c>
      <c r="B317" s="2">
        <v>45885</v>
      </c>
      <c r="C317" t="s">
        <v>109</v>
      </c>
      <c r="D317" t="s">
        <v>89</v>
      </c>
      <c r="E317" t="s">
        <v>55</v>
      </c>
      <c r="F317" t="s">
        <v>56</v>
      </c>
      <c r="G317" t="s">
        <v>30</v>
      </c>
      <c r="H317" t="s">
        <v>103</v>
      </c>
      <c r="I317">
        <v>4</v>
      </c>
      <c r="J317">
        <v>12000</v>
      </c>
      <c r="K317">
        <v>0</v>
      </c>
      <c r="L317" t="s">
        <v>23</v>
      </c>
      <c r="M317" t="s">
        <v>91</v>
      </c>
      <c r="N317">
        <v>48000</v>
      </c>
      <c r="O317">
        <v>0</v>
      </c>
      <c r="P317">
        <v>48000</v>
      </c>
      <c r="Q317">
        <f t="shared" si="12"/>
        <v>2025</v>
      </c>
      <c r="R317">
        <f t="shared" si="13"/>
        <v>8</v>
      </c>
      <c r="S317" t="str">
        <f t="shared" si="14"/>
        <v>August</v>
      </c>
    </row>
    <row r="318" spans="1:19">
      <c r="A318" t="s">
        <v>511</v>
      </c>
      <c r="B318" s="2">
        <v>45886</v>
      </c>
      <c r="C318" t="s">
        <v>315</v>
      </c>
      <c r="D318" t="s">
        <v>123</v>
      </c>
      <c r="E318" t="s">
        <v>28</v>
      </c>
      <c r="F318" t="s">
        <v>233</v>
      </c>
      <c r="G318" t="s">
        <v>21</v>
      </c>
      <c r="H318" t="s">
        <v>185</v>
      </c>
      <c r="I318">
        <v>5</v>
      </c>
      <c r="J318">
        <v>2800</v>
      </c>
      <c r="K318">
        <v>0.15</v>
      </c>
      <c r="L318" t="s">
        <v>50</v>
      </c>
      <c r="M318" t="s">
        <v>51</v>
      </c>
      <c r="N318">
        <v>14000</v>
      </c>
      <c r="O318">
        <v>2100</v>
      </c>
      <c r="P318">
        <v>11900</v>
      </c>
      <c r="Q318">
        <f t="shared" si="12"/>
        <v>2025</v>
      </c>
      <c r="R318">
        <f t="shared" si="13"/>
        <v>8</v>
      </c>
      <c r="S318" t="str">
        <f t="shared" si="14"/>
        <v>August</v>
      </c>
    </row>
    <row r="319" spans="1:19">
      <c r="A319" t="s">
        <v>512</v>
      </c>
      <c r="B319" s="2">
        <v>45886</v>
      </c>
      <c r="C319" t="s">
        <v>336</v>
      </c>
      <c r="D319" t="s">
        <v>120</v>
      </c>
      <c r="E319" t="s">
        <v>19</v>
      </c>
      <c r="F319" t="s">
        <v>48</v>
      </c>
      <c r="G319" t="s">
        <v>71</v>
      </c>
      <c r="H319" t="s">
        <v>187</v>
      </c>
      <c r="I319">
        <v>5</v>
      </c>
      <c r="J319">
        <v>7500</v>
      </c>
      <c r="K319">
        <v>0.1</v>
      </c>
      <c r="L319" t="s">
        <v>32</v>
      </c>
      <c r="M319" t="s">
        <v>112</v>
      </c>
      <c r="N319">
        <v>37500</v>
      </c>
      <c r="O319">
        <v>3750</v>
      </c>
      <c r="P319">
        <v>33750</v>
      </c>
      <c r="Q319">
        <f t="shared" si="12"/>
        <v>2025</v>
      </c>
      <c r="R319">
        <f t="shared" si="13"/>
        <v>8</v>
      </c>
      <c r="S319" t="str">
        <f t="shared" si="14"/>
        <v>August</v>
      </c>
    </row>
    <row r="320" spans="1:19">
      <c r="A320" t="s">
        <v>513</v>
      </c>
      <c r="B320" s="2">
        <v>45887</v>
      </c>
      <c r="C320" t="s">
        <v>272</v>
      </c>
      <c r="D320" t="s">
        <v>54</v>
      </c>
      <c r="E320" t="s">
        <v>28</v>
      </c>
      <c r="F320" t="s">
        <v>148</v>
      </c>
      <c r="G320" t="s">
        <v>30</v>
      </c>
      <c r="H320" t="s">
        <v>103</v>
      </c>
      <c r="I320">
        <v>2</v>
      </c>
      <c r="J320">
        <v>1800</v>
      </c>
      <c r="K320">
        <v>0.05</v>
      </c>
      <c r="L320" t="s">
        <v>44</v>
      </c>
      <c r="M320" t="s">
        <v>91</v>
      </c>
      <c r="N320">
        <v>3600</v>
      </c>
      <c r="O320">
        <v>180</v>
      </c>
      <c r="P320">
        <v>3420</v>
      </c>
      <c r="Q320">
        <f t="shared" si="12"/>
        <v>2025</v>
      </c>
      <c r="R320">
        <f t="shared" si="13"/>
        <v>8</v>
      </c>
      <c r="S320" t="str">
        <f t="shared" si="14"/>
        <v>August</v>
      </c>
    </row>
    <row r="321" spans="1:19">
      <c r="A321" t="s">
        <v>514</v>
      </c>
      <c r="B321" s="2">
        <v>45888</v>
      </c>
      <c r="C321" t="s">
        <v>305</v>
      </c>
      <c r="D321" t="s">
        <v>115</v>
      </c>
      <c r="E321" t="s">
        <v>62</v>
      </c>
      <c r="F321" t="s">
        <v>169</v>
      </c>
      <c r="G321" t="s">
        <v>21</v>
      </c>
      <c r="H321" t="s">
        <v>83</v>
      </c>
      <c r="I321">
        <v>3</v>
      </c>
      <c r="J321">
        <v>1200</v>
      </c>
      <c r="K321">
        <v>0</v>
      </c>
      <c r="L321" t="s">
        <v>32</v>
      </c>
      <c r="M321" t="s">
        <v>112</v>
      </c>
      <c r="N321">
        <v>3600</v>
      </c>
      <c r="O321">
        <v>0</v>
      </c>
      <c r="P321">
        <v>3600</v>
      </c>
      <c r="Q321">
        <f t="shared" si="12"/>
        <v>2025</v>
      </c>
      <c r="R321">
        <f t="shared" si="13"/>
        <v>8</v>
      </c>
      <c r="S321" t="str">
        <f t="shared" si="14"/>
        <v>August</v>
      </c>
    </row>
    <row r="322" spans="1:19">
      <c r="A322" t="s">
        <v>515</v>
      </c>
      <c r="B322" s="2">
        <v>45888</v>
      </c>
      <c r="C322" t="s">
        <v>138</v>
      </c>
      <c r="D322" t="s">
        <v>102</v>
      </c>
      <c r="E322" t="s">
        <v>19</v>
      </c>
      <c r="F322" t="s">
        <v>70</v>
      </c>
      <c r="G322" t="s">
        <v>21</v>
      </c>
      <c r="H322" t="s">
        <v>185</v>
      </c>
      <c r="I322">
        <v>2</v>
      </c>
      <c r="J322">
        <v>6500</v>
      </c>
      <c r="K322">
        <v>0</v>
      </c>
      <c r="L322" t="s">
        <v>50</v>
      </c>
      <c r="M322" t="s">
        <v>112</v>
      </c>
      <c r="N322">
        <v>13000</v>
      </c>
      <c r="O322">
        <v>0</v>
      </c>
      <c r="P322">
        <v>13000</v>
      </c>
      <c r="Q322">
        <f t="shared" si="12"/>
        <v>2025</v>
      </c>
      <c r="R322">
        <f t="shared" si="13"/>
        <v>8</v>
      </c>
      <c r="S322" t="str">
        <f t="shared" si="14"/>
        <v>August</v>
      </c>
    </row>
    <row r="323" spans="1:19">
      <c r="A323" t="s">
        <v>516</v>
      </c>
      <c r="B323" s="2">
        <v>45888</v>
      </c>
      <c r="C323" t="s">
        <v>200</v>
      </c>
      <c r="D323" t="s">
        <v>54</v>
      </c>
      <c r="E323" t="s">
        <v>19</v>
      </c>
      <c r="F323" t="s">
        <v>48</v>
      </c>
      <c r="G323" t="s">
        <v>71</v>
      </c>
      <c r="H323" t="s">
        <v>99</v>
      </c>
      <c r="I323">
        <v>5</v>
      </c>
      <c r="J323">
        <v>7500</v>
      </c>
      <c r="K323">
        <v>0.05</v>
      </c>
      <c r="L323" t="s">
        <v>32</v>
      </c>
      <c r="M323" t="s">
        <v>24</v>
      </c>
      <c r="N323">
        <v>37500</v>
      </c>
      <c r="O323">
        <v>1875</v>
      </c>
      <c r="P323">
        <v>35625</v>
      </c>
      <c r="Q323">
        <f t="shared" ref="Q323:Q386" si="15">YEAR(B323)</f>
        <v>2025</v>
      </c>
      <c r="R323">
        <f t="shared" ref="R323:R386" si="16">MONTH(B323)</f>
        <v>8</v>
      </c>
      <c r="S323" t="str">
        <f t="shared" ref="S323:S386" si="17">TEXT(B323,"mmmm")</f>
        <v>August</v>
      </c>
    </row>
    <row r="324" spans="1:19">
      <c r="A324" t="s">
        <v>517</v>
      </c>
      <c r="B324" s="2">
        <v>45890</v>
      </c>
      <c r="C324" t="s">
        <v>168</v>
      </c>
      <c r="D324" t="s">
        <v>61</v>
      </c>
      <c r="E324" t="s">
        <v>37</v>
      </c>
      <c r="F324" t="s">
        <v>90</v>
      </c>
      <c r="G324" t="s">
        <v>30</v>
      </c>
      <c r="H324" t="s">
        <v>103</v>
      </c>
      <c r="I324">
        <v>2</v>
      </c>
      <c r="J324">
        <v>900</v>
      </c>
      <c r="K324">
        <v>0</v>
      </c>
      <c r="L324" t="s">
        <v>32</v>
      </c>
      <c r="M324" t="s">
        <v>112</v>
      </c>
      <c r="N324">
        <v>1800</v>
      </c>
      <c r="O324">
        <v>0</v>
      </c>
      <c r="P324">
        <v>1800</v>
      </c>
      <c r="Q324">
        <f t="shared" si="15"/>
        <v>2025</v>
      </c>
      <c r="R324">
        <f t="shared" si="16"/>
        <v>8</v>
      </c>
      <c r="S324" t="str">
        <f t="shared" si="17"/>
        <v>August</v>
      </c>
    </row>
    <row r="325" spans="1:19">
      <c r="A325" t="s">
        <v>518</v>
      </c>
      <c r="B325" s="2">
        <v>45891</v>
      </c>
      <c r="C325" t="s">
        <v>147</v>
      </c>
      <c r="D325" t="s">
        <v>74</v>
      </c>
      <c r="E325" t="s">
        <v>55</v>
      </c>
      <c r="F325" t="s">
        <v>150</v>
      </c>
      <c r="G325" t="s">
        <v>21</v>
      </c>
      <c r="H325" t="s">
        <v>22</v>
      </c>
      <c r="I325">
        <v>4</v>
      </c>
      <c r="J325">
        <v>4500</v>
      </c>
      <c r="K325">
        <v>0.05</v>
      </c>
      <c r="L325" t="s">
        <v>23</v>
      </c>
      <c r="M325" t="s">
        <v>112</v>
      </c>
      <c r="N325">
        <v>18000</v>
      </c>
      <c r="O325">
        <v>900</v>
      </c>
      <c r="P325">
        <v>17100</v>
      </c>
      <c r="Q325">
        <f t="shared" si="15"/>
        <v>2025</v>
      </c>
      <c r="R325">
        <f t="shared" si="16"/>
        <v>8</v>
      </c>
      <c r="S325" t="str">
        <f t="shared" si="17"/>
        <v>August</v>
      </c>
    </row>
    <row r="326" spans="1:19">
      <c r="A326" t="s">
        <v>519</v>
      </c>
      <c r="B326" s="2">
        <v>45891</v>
      </c>
      <c r="C326" t="s">
        <v>163</v>
      </c>
      <c r="D326" t="s">
        <v>86</v>
      </c>
      <c r="E326" t="s">
        <v>19</v>
      </c>
      <c r="F326" t="s">
        <v>139</v>
      </c>
      <c r="G326" t="s">
        <v>30</v>
      </c>
      <c r="H326" t="s">
        <v>31</v>
      </c>
      <c r="I326">
        <v>5</v>
      </c>
      <c r="J326">
        <v>6000</v>
      </c>
      <c r="K326">
        <v>0.1</v>
      </c>
      <c r="L326" t="s">
        <v>50</v>
      </c>
      <c r="M326" t="s">
        <v>24</v>
      </c>
      <c r="N326">
        <v>30000</v>
      </c>
      <c r="O326">
        <v>3000</v>
      </c>
      <c r="P326">
        <v>27000</v>
      </c>
      <c r="Q326">
        <f t="shared" si="15"/>
        <v>2025</v>
      </c>
      <c r="R326">
        <f t="shared" si="16"/>
        <v>8</v>
      </c>
      <c r="S326" t="str">
        <f t="shared" si="17"/>
        <v>August</v>
      </c>
    </row>
    <row r="327" spans="1:19">
      <c r="A327" t="s">
        <v>520</v>
      </c>
      <c r="B327" s="2">
        <v>45892</v>
      </c>
      <c r="C327" t="s">
        <v>111</v>
      </c>
      <c r="D327" t="s">
        <v>36</v>
      </c>
      <c r="E327" t="s">
        <v>37</v>
      </c>
      <c r="F327" t="s">
        <v>196</v>
      </c>
      <c r="G327" t="s">
        <v>71</v>
      </c>
      <c r="H327" t="s">
        <v>128</v>
      </c>
      <c r="I327">
        <v>5</v>
      </c>
      <c r="J327">
        <v>2500</v>
      </c>
      <c r="K327">
        <v>0.05</v>
      </c>
      <c r="L327" t="s">
        <v>23</v>
      </c>
      <c r="M327" t="s">
        <v>45</v>
      </c>
      <c r="N327">
        <v>12500</v>
      </c>
      <c r="O327">
        <v>625</v>
      </c>
      <c r="P327">
        <v>11875</v>
      </c>
      <c r="Q327">
        <f t="shared" si="15"/>
        <v>2025</v>
      </c>
      <c r="R327">
        <f t="shared" si="16"/>
        <v>8</v>
      </c>
      <c r="S327" t="str">
        <f t="shared" si="17"/>
        <v>August</v>
      </c>
    </row>
    <row r="328" spans="1:19">
      <c r="A328" t="s">
        <v>521</v>
      </c>
      <c r="B328" s="2">
        <v>45893</v>
      </c>
      <c r="C328" t="s">
        <v>68</v>
      </c>
      <c r="D328" t="s">
        <v>127</v>
      </c>
      <c r="E328" t="s">
        <v>37</v>
      </c>
      <c r="F328" t="s">
        <v>90</v>
      </c>
      <c r="G328" t="s">
        <v>57</v>
      </c>
      <c r="H328" t="s">
        <v>75</v>
      </c>
      <c r="I328">
        <v>5</v>
      </c>
      <c r="J328">
        <v>900</v>
      </c>
      <c r="K328">
        <v>0</v>
      </c>
      <c r="L328" t="s">
        <v>23</v>
      </c>
      <c r="M328" t="s">
        <v>51</v>
      </c>
      <c r="N328">
        <v>4500</v>
      </c>
      <c r="O328">
        <v>0</v>
      </c>
      <c r="P328">
        <v>4500</v>
      </c>
      <c r="Q328">
        <f t="shared" si="15"/>
        <v>2025</v>
      </c>
      <c r="R328">
        <f t="shared" si="16"/>
        <v>8</v>
      </c>
      <c r="S328" t="str">
        <f t="shared" si="17"/>
        <v>August</v>
      </c>
    </row>
    <row r="329" spans="1:19">
      <c r="A329" t="s">
        <v>522</v>
      </c>
      <c r="B329" s="2">
        <v>45895</v>
      </c>
      <c r="C329" t="s">
        <v>65</v>
      </c>
      <c r="D329" t="s">
        <v>42</v>
      </c>
      <c r="E329" t="s">
        <v>55</v>
      </c>
      <c r="F329" t="s">
        <v>213</v>
      </c>
      <c r="G329" t="s">
        <v>30</v>
      </c>
      <c r="H329" t="s">
        <v>103</v>
      </c>
      <c r="I329">
        <v>1</v>
      </c>
      <c r="J329">
        <v>8500</v>
      </c>
      <c r="K329">
        <v>0.05</v>
      </c>
      <c r="L329" t="s">
        <v>23</v>
      </c>
      <c r="M329" t="s">
        <v>51</v>
      </c>
      <c r="N329">
        <v>8500</v>
      </c>
      <c r="O329">
        <v>425</v>
      </c>
      <c r="P329">
        <v>8075</v>
      </c>
      <c r="Q329">
        <f t="shared" si="15"/>
        <v>2025</v>
      </c>
      <c r="R329">
        <f t="shared" si="16"/>
        <v>8</v>
      </c>
      <c r="S329" t="str">
        <f t="shared" si="17"/>
        <v>August</v>
      </c>
    </row>
    <row r="330" spans="1:19">
      <c r="A330" t="s">
        <v>523</v>
      </c>
      <c r="B330" s="2">
        <v>45896</v>
      </c>
      <c r="C330" t="s">
        <v>134</v>
      </c>
      <c r="D330" t="s">
        <v>228</v>
      </c>
      <c r="E330" t="s">
        <v>37</v>
      </c>
      <c r="F330" t="s">
        <v>166</v>
      </c>
      <c r="G330" t="s">
        <v>71</v>
      </c>
      <c r="H330" t="s">
        <v>187</v>
      </c>
      <c r="I330">
        <v>3</v>
      </c>
      <c r="J330">
        <v>15000</v>
      </c>
      <c r="K330">
        <v>0.1</v>
      </c>
      <c r="L330" t="s">
        <v>44</v>
      </c>
      <c r="M330" t="s">
        <v>91</v>
      </c>
      <c r="N330">
        <v>45000</v>
      </c>
      <c r="O330">
        <v>4500</v>
      </c>
      <c r="P330">
        <v>40500</v>
      </c>
      <c r="Q330">
        <f t="shared" si="15"/>
        <v>2025</v>
      </c>
      <c r="R330">
        <f t="shared" si="16"/>
        <v>8</v>
      </c>
      <c r="S330" t="str">
        <f t="shared" si="17"/>
        <v>August</v>
      </c>
    </row>
    <row r="331" spans="1:19">
      <c r="A331" t="s">
        <v>524</v>
      </c>
      <c r="B331" s="2">
        <v>45898</v>
      </c>
      <c r="C331" t="s">
        <v>325</v>
      </c>
      <c r="D331" t="s">
        <v>115</v>
      </c>
      <c r="E331" t="s">
        <v>28</v>
      </c>
      <c r="F331" t="s">
        <v>66</v>
      </c>
      <c r="G331" t="s">
        <v>71</v>
      </c>
      <c r="H331" t="s">
        <v>128</v>
      </c>
      <c r="I331">
        <v>5</v>
      </c>
      <c r="J331">
        <v>900</v>
      </c>
      <c r="K331">
        <v>0.1</v>
      </c>
      <c r="L331" t="s">
        <v>23</v>
      </c>
      <c r="M331" t="s">
        <v>51</v>
      </c>
      <c r="N331">
        <v>4500</v>
      </c>
      <c r="O331">
        <v>450</v>
      </c>
      <c r="P331">
        <v>4050</v>
      </c>
      <c r="Q331">
        <f t="shared" si="15"/>
        <v>2025</v>
      </c>
      <c r="R331">
        <f t="shared" si="16"/>
        <v>8</v>
      </c>
      <c r="S331" t="str">
        <f t="shared" si="17"/>
        <v>August</v>
      </c>
    </row>
    <row r="332" spans="1:19">
      <c r="A332" t="s">
        <v>525</v>
      </c>
      <c r="B332" s="2">
        <v>45898</v>
      </c>
      <c r="C332" t="s">
        <v>189</v>
      </c>
      <c r="D332" t="s">
        <v>123</v>
      </c>
      <c r="E332" t="s">
        <v>55</v>
      </c>
      <c r="F332" t="s">
        <v>145</v>
      </c>
      <c r="G332" t="s">
        <v>71</v>
      </c>
      <c r="H332" t="s">
        <v>128</v>
      </c>
      <c r="I332">
        <v>5</v>
      </c>
      <c r="J332">
        <v>1800</v>
      </c>
      <c r="K332">
        <v>0.05</v>
      </c>
      <c r="L332" t="s">
        <v>23</v>
      </c>
      <c r="M332" t="s">
        <v>24</v>
      </c>
      <c r="N332">
        <v>9000</v>
      </c>
      <c r="O332">
        <v>450</v>
      </c>
      <c r="P332">
        <v>8550</v>
      </c>
      <c r="Q332">
        <f t="shared" si="15"/>
        <v>2025</v>
      </c>
      <c r="R332">
        <f t="shared" si="16"/>
        <v>8</v>
      </c>
      <c r="S332" t="str">
        <f t="shared" si="17"/>
        <v>August</v>
      </c>
    </row>
    <row r="333" spans="1:19">
      <c r="A333" t="s">
        <v>526</v>
      </c>
      <c r="B333" s="2">
        <v>45899</v>
      </c>
      <c r="C333" t="s">
        <v>292</v>
      </c>
      <c r="D333" t="s">
        <v>153</v>
      </c>
      <c r="E333" t="s">
        <v>28</v>
      </c>
      <c r="F333" t="s">
        <v>29</v>
      </c>
      <c r="G333" t="s">
        <v>21</v>
      </c>
      <c r="H333" t="s">
        <v>83</v>
      </c>
      <c r="I333">
        <v>1</v>
      </c>
      <c r="J333">
        <v>4000</v>
      </c>
      <c r="K333">
        <v>0.1</v>
      </c>
      <c r="L333" t="s">
        <v>44</v>
      </c>
      <c r="M333" t="s">
        <v>33</v>
      </c>
      <c r="N333">
        <v>4000</v>
      </c>
      <c r="O333">
        <v>400</v>
      </c>
      <c r="P333">
        <v>3600</v>
      </c>
      <c r="Q333">
        <f t="shared" si="15"/>
        <v>2025</v>
      </c>
      <c r="R333">
        <f t="shared" si="16"/>
        <v>8</v>
      </c>
      <c r="S333" t="str">
        <f t="shared" si="17"/>
        <v>August</v>
      </c>
    </row>
    <row r="334" spans="1:19">
      <c r="A334" t="s">
        <v>527</v>
      </c>
      <c r="B334" s="2">
        <v>45900</v>
      </c>
      <c r="C334" t="s">
        <v>315</v>
      </c>
      <c r="D334" t="s">
        <v>54</v>
      </c>
      <c r="E334" t="s">
        <v>37</v>
      </c>
      <c r="F334" t="s">
        <v>43</v>
      </c>
      <c r="G334" t="s">
        <v>30</v>
      </c>
      <c r="H334" t="s">
        <v>31</v>
      </c>
      <c r="I334">
        <v>3</v>
      </c>
      <c r="J334">
        <v>1800</v>
      </c>
      <c r="K334">
        <v>0.05</v>
      </c>
      <c r="L334" t="s">
        <v>44</v>
      </c>
      <c r="M334" t="s">
        <v>45</v>
      </c>
      <c r="N334">
        <v>5400</v>
      </c>
      <c r="O334">
        <v>270</v>
      </c>
      <c r="P334">
        <v>5130</v>
      </c>
      <c r="Q334">
        <f t="shared" si="15"/>
        <v>2025</v>
      </c>
      <c r="R334">
        <f t="shared" si="16"/>
        <v>8</v>
      </c>
      <c r="S334" t="str">
        <f t="shared" si="17"/>
        <v>August</v>
      </c>
    </row>
    <row r="335" spans="1:19">
      <c r="A335" t="s">
        <v>528</v>
      </c>
      <c r="B335" s="2">
        <v>45900</v>
      </c>
      <c r="C335" t="s">
        <v>189</v>
      </c>
      <c r="D335" t="s">
        <v>135</v>
      </c>
      <c r="E335" t="s">
        <v>37</v>
      </c>
      <c r="F335" t="s">
        <v>166</v>
      </c>
      <c r="G335" t="s">
        <v>57</v>
      </c>
      <c r="H335" t="s">
        <v>142</v>
      </c>
      <c r="I335">
        <v>1</v>
      </c>
      <c r="J335">
        <v>15000</v>
      </c>
      <c r="K335">
        <v>0</v>
      </c>
      <c r="L335" t="s">
        <v>32</v>
      </c>
      <c r="M335" t="s">
        <v>51</v>
      </c>
      <c r="N335">
        <v>15000</v>
      </c>
      <c r="O335">
        <v>0</v>
      </c>
      <c r="P335">
        <v>15000</v>
      </c>
      <c r="Q335">
        <f t="shared" si="15"/>
        <v>2025</v>
      </c>
      <c r="R335">
        <f t="shared" si="16"/>
        <v>8</v>
      </c>
      <c r="S335" t="str">
        <f t="shared" si="17"/>
        <v>August</v>
      </c>
    </row>
    <row r="336" spans="1:19">
      <c r="A336" t="s">
        <v>529</v>
      </c>
      <c r="B336" s="2">
        <v>45900</v>
      </c>
      <c r="C336" t="s">
        <v>309</v>
      </c>
      <c r="D336" t="s">
        <v>69</v>
      </c>
      <c r="E336" t="s">
        <v>55</v>
      </c>
      <c r="F336" t="s">
        <v>213</v>
      </c>
      <c r="G336" t="s">
        <v>71</v>
      </c>
      <c r="H336" t="s">
        <v>72</v>
      </c>
      <c r="I336">
        <v>5</v>
      </c>
      <c r="J336">
        <v>8500</v>
      </c>
      <c r="K336">
        <v>0.05</v>
      </c>
      <c r="L336" t="s">
        <v>23</v>
      </c>
      <c r="M336" t="s">
        <v>33</v>
      </c>
      <c r="N336">
        <v>42500</v>
      </c>
      <c r="O336">
        <v>2125</v>
      </c>
      <c r="P336">
        <v>40375</v>
      </c>
      <c r="Q336">
        <f t="shared" si="15"/>
        <v>2025</v>
      </c>
      <c r="R336">
        <f t="shared" si="16"/>
        <v>8</v>
      </c>
      <c r="S336" t="str">
        <f t="shared" si="17"/>
        <v>August</v>
      </c>
    </row>
    <row r="337" spans="1:19">
      <c r="A337" t="s">
        <v>530</v>
      </c>
      <c r="B337" s="2">
        <v>45903</v>
      </c>
      <c r="C337" t="s">
        <v>434</v>
      </c>
      <c r="D337" t="s">
        <v>42</v>
      </c>
      <c r="E337" t="s">
        <v>19</v>
      </c>
      <c r="F337" t="s">
        <v>70</v>
      </c>
      <c r="G337" t="s">
        <v>57</v>
      </c>
      <c r="H337" t="s">
        <v>97</v>
      </c>
      <c r="I337">
        <v>2</v>
      </c>
      <c r="J337">
        <v>6500</v>
      </c>
      <c r="K337">
        <v>0</v>
      </c>
      <c r="L337" t="s">
        <v>50</v>
      </c>
      <c r="M337" t="s">
        <v>91</v>
      </c>
      <c r="N337">
        <v>13000</v>
      </c>
      <c r="O337">
        <v>0</v>
      </c>
      <c r="P337">
        <v>13000</v>
      </c>
      <c r="Q337">
        <f t="shared" si="15"/>
        <v>2025</v>
      </c>
      <c r="R337">
        <f t="shared" si="16"/>
        <v>9</v>
      </c>
      <c r="S337" t="str">
        <f t="shared" si="17"/>
        <v>September</v>
      </c>
    </row>
    <row r="338" spans="1:19">
      <c r="A338" t="s">
        <v>531</v>
      </c>
      <c r="B338" s="2">
        <v>45903</v>
      </c>
      <c r="C338" t="s">
        <v>309</v>
      </c>
      <c r="D338" t="s">
        <v>228</v>
      </c>
      <c r="E338" t="s">
        <v>37</v>
      </c>
      <c r="F338" t="s">
        <v>90</v>
      </c>
      <c r="G338" t="s">
        <v>21</v>
      </c>
      <c r="H338" t="s">
        <v>22</v>
      </c>
      <c r="I338">
        <v>3</v>
      </c>
      <c r="J338">
        <v>900</v>
      </c>
      <c r="K338">
        <v>0.05</v>
      </c>
      <c r="L338" t="s">
        <v>23</v>
      </c>
      <c r="M338" t="s">
        <v>45</v>
      </c>
      <c r="N338">
        <v>2700</v>
      </c>
      <c r="O338">
        <v>135</v>
      </c>
      <c r="P338">
        <v>2565</v>
      </c>
      <c r="Q338">
        <f t="shared" si="15"/>
        <v>2025</v>
      </c>
      <c r="R338">
        <f t="shared" si="16"/>
        <v>9</v>
      </c>
      <c r="S338" t="str">
        <f t="shared" si="17"/>
        <v>September</v>
      </c>
    </row>
    <row r="339" spans="1:19">
      <c r="A339" t="s">
        <v>532</v>
      </c>
      <c r="B339" s="2">
        <v>45904</v>
      </c>
      <c r="C339" t="s">
        <v>355</v>
      </c>
      <c r="D339" t="s">
        <v>106</v>
      </c>
      <c r="E339" t="s">
        <v>28</v>
      </c>
      <c r="F339" t="s">
        <v>233</v>
      </c>
      <c r="G339" t="s">
        <v>71</v>
      </c>
      <c r="H339" t="s">
        <v>72</v>
      </c>
      <c r="I339">
        <v>5</v>
      </c>
      <c r="J339">
        <v>2800</v>
      </c>
      <c r="K339">
        <v>0.05</v>
      </c>
      <c r="L339" t="s">
        <v>44</v>
      </c>
      <c r="M339" t="s">
        <v>39</v>
      </c>
      <c r="N339">
        <v>14000</v>
      </c>
      <c r="O339">
        <v>700</v>
      </c>
      <c r="P339">
        <v>13300</v>
      </c>
      <c r="Q339">
        <f t="shared" si="15"/>
        <v>2025</v>
      </c>
      <c r="R339">
        <f t="shared" si="16"/>
        <v>9</v>
      </c>
      <c r="S339" t="str">
        <f t="shared" si="17"/>
        <v>September</v>
      </c>
    </row>
    <row r="340" spans="1:19">
      <c r="A340" t="s">
        <v>533</v>
      </c>
      <c r="B340" s="2">
        <v>45904</v>
      </c>
      <c r="C340" t="s">
        <v>114</v>
      </c>
      <c r="D340" t="s">
        <v>69</v>
      </c>
      <c r="E340" t="s">
        <v>62</v>
      </c>
      <c r="F340" t="s">
        <v>293</v>
      </c>
      <c r="G340" t="s">
        <v>57</v>
      </c>
      <c r="H340" t="s">
        <v>58</v>
      </c>
      <c r="I340">
        <v>1</v>
      </c>
      <c r="J340">
        <v>500</v>
      </c>
      <c r="K340">
        <v>0.1</v>
      </c>
      <c r="L340" t="s">
        <v>50</v>
      </c>
      <c r="M340" t="s">
        <v>91</v>
      </c>
      <c r="N340">
        <v>500</v>
      </c>
      <c r="O340">
        <v>50</v>
      </c>
      <c r="P340">
        <v>450</v>
      </c>
      <c r="Q340">
        <f t="shared" si="15"/>
        <v>2025</v>
      </c>
      <c r="R340">
        <f t="shared" si="16"/>
        <v>9</v>
      </c>
      <c r="S340" t="str">
        <f t="shared" si="17"/>
        <v>September</v>
      </c>
    </row>
    <row r="341" spans="1:19">
      <c r="A341" t="s">
        <v>534</v>
      </c>
      <c r="B341" s="2">
        <v>45905</v>
      </c>
      <c r="C341" t="s">
        <v>360</v>
      </c>
      <c r="D341" t="s">
        <v>102</v>
      </c>
      <c r="E341" t="s">
        <v>62</v>
      </c>
      <c r="F341" t="s">
        <v>293</v>
      </c>
      <c r="G341" t="s">
        <v>57</v>
      </c>
      <c r="H341" t="s">
        <v>97</v>
      </c>
      <c r="I341">
        <v>3</v>
      </c>
      <c r="J341">
        <v>500</v>
      </c>
      <c r="K341">
        <v>0.1</v>
      </c>
      <c r="L341" t="s">
        <v>50</v>
      </c>
      <c r="M341" t="s">
        <v>91</v>
      </c>
      <c r="N341">
        <v>1500</v>
      </c>
      <c r="O341">
        <v>150</v>
      </c>
      <c r="P341">
        <v>1350</v>
      </c>
      <c r="Q341">
        <f t="shared" si="15"/>
        <v>2025</v>
      </c>
      <c r="R341">
        <f t="shared" si="16"/>
        <v>9</v>
      </c>
      <c r="S341" t="str">
        <f t="shared" si="17"/>
        <v>September</v>
      </c>
    </row>
    <row r="342" spans="1:19">
      <c r="A342" t="s">
        <v>535</v>
      </c>
      <c r="B342" s="2">
        <v>45906</v>
      </c>
      <c r="C342" t="s">
        <v>391</v>
      </c>
      <c r="D342" t="s">
        <v>127</v>
      </c>
      <c r="E342" t="s">
        <v>28</v>
      </c>
      <c r="F342" t="s">
        <v>29</v>
      </c>
      <c r="G342" t="s">
        <v>21</v>
      </c>
      <c r="H342" t="s">
        <v>185</v>
      </c>
      <c r="I342">
        <v>3</v>
      </c>
      <c r="J342">
        <v>4000</v>
      </c>
      <c r="K342">
        <v>0.1</v>
      </c>
      <c r="L342" t="s">
        <v>44</v>
      </c>
      <c r="M342" t="s">
        <v>39</v>
      </c>
      <c r="N342">
        <v>12000</v>
      </c>
      <c r="O342">
        <v>1200</v>
      </c>
      <c r="P342">
        <v>10800</v>
      </c>
      <c r="Q342">
        <f t="shared" si="15"/>
        <v>2025</v>
      </c>
      <c r="R342">
        <f t="shared" si="16"/>
        <v>9</v>
      </c>
      <c r="S342" t="str">
        <f t="shared" si="17"/>
        <v>September</v>
      </c>
    </row>
    <row r="343" spans="1:19">
      <c r="A343" t="s">
        <v>536</v>
      </c>
      <c r="B343" s="2">
        <v>45906</v>
      </c>
      <c r="C343" t="s">
        <v>35</v>
      </c>
      <c r="D343" t="s">
        <v>120</v>
      </c>
      <c r="E343" t="s">
        <v>19</v>
      </c>
      <c r="F343" t="s">
        <v>139</v>
      </c>
      <c r="G343" t="s">
        <v>30</v>
      </c>
      <c r="H343" t="s">
        <v>31</v>
      </c>
      <c r="I343">
        <v>3</v>
      </c>
      <c r="J343">
        <v>6000</v>
      </c>
      <c r="K343">
        <v>0.05</v>
      </c>
      <c r="L343" t="s">
        <v>32</v>
      </c>
      <c r="M343" t="s">
        <v>24</v>
      </c>
      <c r="N343">
        <v>18000</v>
      </c>
      <c r="O343">
        <v>900</v>
      </c>
      <c r="P343">
        <v>17100</v>
      </c>
      <c r="Q343">
        <f t="shared" si="15"/>
        <v>2025</v>
      </c>
      <c r="R343">
        <f t="shared" si="16"/>
        <v>9</v>
      </c>
      <c r="S343" t="str">
        <f t="shared" si="17"/>
        <v>September</v>
      </c>
    </row>
    <row r="344" spans="1:19">
      <c r="A344" t="s">
        <v>537</v>
      </c>
      <c r="B344" s="2">
        <v>45909</v>
      </c>
      <c r="C344" t="s">
        <v>47</v>
      </c>
      <c r="D344" t="s">
        <v>127</v>
      </c>
      <c r="E344" t="s">
        <v>28</v>
      </c>
      <c r="F344" t="s">
        <v>82</v>
      </c>
      <c r="G344" t="s">
        <v>30</v>
      </c>
      <c r="H344" t="s">
        <v>31</v>
      </c>
      <c r="I344">
        <v>2</v>
      </c>
      <c r="J344">
        <v>3500</v>
      </c>
      <c r="K344">
        <v>0</v>
      </c>
      <c r="L344" t="s">
        <v>32</v>
      </c>
      <c r="M344" t="s">
        <v>51</v>
      </c>
      <c r="N344">
        <v>7000</v>
      </c>
      <c r="O344">
        <v>0</v>
      </c>
      <c r="P344">
        <v>7000</v>
      </c>
      <c r="Q344">
        <f t="shared" si="15"/>
        <v>2025</v>
      </c>
      <c r="R344">
        <f t="shared" si="16"/>
        <v>9</v>
      </c>
      <c r="S344" t="str">
        <f t="shared" si="17"/>
        <v>September</v>
      </c>
    </row>
    <row r="345" spans="1:19">
      <c r="A345" t="s">
        <v>538</v>
      </c>
      <c r="B345" s="2">
        <v>45909</v>
      </c>
      <c r="C345" t="s">
        <v>119</v>
      </c>
      <c r="D345" t="s">
        <v>54</v>
      </c>
      <c r="E345" t="s">
        <v>55</v>
      </c>
      <c r="F345" t="s">
        <v>150</v>
      </c>
      <c r="G345" t="s">
        <v>21</v>
      </c>
      <c r="H345" t="s">
        <v>83</v>
      </c>
      <c r="I345">
        <v>5</v>
      </c>
      <c r="J345">
        <v>4500</v>
      </c>
      <c r="K345">
        <v>0.1</v>
      </c>
      <c r="L345" t="s">
        <v>50</v>
      </c>
      <c r="M345" t="s">
        <v>91</v>
      </c>
      <c r="N345">
        <v>22500</v>
      </c>
      <c r="O345">
        <v>2250</v>
      </c>
      <c r="P345">
        <v>20250</v>
      </c>
      <c r="Q345">
        <f t="shared" si="15"/>
        <v>2025</v>
      </c>
      <c r="R345">
        <f t="shared" si="16"/>
        <v>9</v>
      </c>
      <c r="S345" t="str">
        <f t="shared" si="17"/>
        <v>September</v>
      </c>
    </row>
    <row r="346" spans="1:19">
      <c r="A346" t="s">
        <v>539</v>
      </c>
      <c r="B346" s="2">
        <v>45911</v>
      </c>
      <c r="C346" t="s">
        <v>96</v>
      </c>
      <c r="D346" t="s">
        <v>81</v>
      </c>
      <c r="E346" t="s">
        <v>37</v>
      </c>
      <c r="F346" t="s">
        <v>166</v>
      </c>
      <c r="G346" t="s">
        <v>57</v>
      </c>
      <c r="H346" t="s">
        <v>75</v>
      </c>
      <c r="I346">
        <v>5</v>
      </c>
      <c r="J346">
        <v>15000</v>
      </c>
      <c r="K346">
        <v>0.05</v>
      </c>
      <c r="L346" t="s">
        <v>23</v>
      </c>
      <c r="M346" t="s">
        <v>45</v>
      </c>
      <c r="N346">
        <v>75000</v>
      </c>
      <c r="O346">
        <v>3750</v>
      </c>
      <c r="P346">
        <v>71250</v>
      </c>
      <c r="Q346">
        <f t="shared" si="15"/>
        <v>2025</v>
      </c>
      <c r="R346">
        <f t="shared" si="16"/>
        <v>9</v>
      </c>
      <c r="S346" t="str">
        <f t="shared" si="17"/>
        <v>September</v>
      </c>
    </row>
    <row r="347" spans="1:19">
      <c r="A347" t="s">
        <v>540</v>
      </c>
      <c r="B347" s="2">
        <v>45911</v>
      </c>
      <c r="C347" t="s">
        <v>221</v>
      </c>
      <c r="D347" t="s">
        <v>81</v>
      </c>
      <c r="E347" t="s">
        <v>28</v>
      </c>
      <c r="F347" t="s">
        <v>233</v>
      </c>
      <c r="G347" t="s">
        <v>21</v>
      </c>
      <c r="H347" t="s">
        <v>185</v>
      </c>
      <c r="I347">
        <v>4</v>
      </c>
      <c r="J347">
        <v>2800</v>
      </c>
      <c r="K347">
        <v>0.05</v>
      </c>
      <c r="L347" t="s">
        <v>44</v>
      </c>
      <c r="M347" t="s">
        <v>91</v>
      </c>
      <c r="N347">
        <v>11200</v>
      </c>
      <c r="O347">
        <v>560</v>
      </c>
      <c r="P347">
        <v>10640</v>
      </c>
      <c r="Q347">
        <f t="shared" si="15"/>
        <v>2025</v>
      </c>
      <c r="R347">
        <f t="shared" si="16"/>
        <v>9</v>
      </c>
      <c r="S347" t="str">
        <f t="shared" si="17"/>
        <v>September</v>
      </c>
    </row>
    <row r="348" spans="1:19">
      <c r="A348" t="s">
        <v>541</v>
      </c>
      <c r="B348" s="2">
        <v>45912</v>
      </c>
      <c r="C348" t="s">
        <v>479</v>
      </c>
      <c r="D348" t="s">
        <v>115</v>
      </c>
      <c r="E348" t="s">
        <v>37</v>
      </c>
      <c r="F348" t="s">
        <v>196</v>
      </c>
      <c r="G348" t="s">
        <v>71</v>
      </c>
      <c r="H348" t="s">
        <v>187</v>
      </c>
      <c r="I348">
        <v>5</v>
      </c>
      <c r="J348">
        <v>2500</v>
      </c>
      <c r="K348">
        <v>0.05</v>
      </c>
      <c r="L348" t="s">
        <v>50</v>
      </c>
      <c r="M348" t="s">
        <v>112</v>
      </c>
      <c r="N348">
        <v>12500</v>
      </c>
      <c r="O348">
        <v>625</v>
      </c>
      <c r="P348">
        <v>11875</v>
      </c>
      <c r="Q348">
        <f t="shared" si="15"/>
        <v>2025</v>
      </c>
      <c r="R348">
        <f t="shared" si="16"/>
        <v>9</v>
      </c>
      <c r="S348" t="str">
        <f t="shared" si="17"/>
        <v>September</v>
      </c>
    </row>
    <row r="349" spans="1:19">
      <c r="A349" t="s">
        <v>542</v>
      </c>
      <c r="B349" s="2">
        <v>45913</v>
      </c>
      <c r="C349" t="s">
        <v>119</v>
      </c>
      <c r="D349" t="s">
        <v>106</v>
      </c>
      <c r="E349" t="s">
        <v>62</v>
      </c>
      <c r="F349" t="s">
        <v>63</v>
      </c>
      <c r="G349" t="s">
        <v>57</v>
      </c>
      <c r="H349" t="s">
        <v>142</v>
      </c>
      <c r="I349">
        <v>3</v>
      </c>
      <c r="J349">
        <v>180</v>
      </c>
      <c r="K349">
        <v>0.15</v>
      </c>
      <c r="L349" t="s">
        <v>32</v>
      </c>
      <c r="M349" t="s">
        <v>45</v>
      </c>
      <c r="N349">
        <v>540</v>
      </c>
      <c r="O349">
        <v>81</v>
      </c>
      <c r="P349">
        <v>459</v>
      </c>
      <c r="Q349">
        <f t="shared" si="15"/>
        <v>2025</v>
      </c>
      <c r="R349">
        <f t="shared" si="16"/>
        <v>9</v>
      </c>
      <c r="S349" t="str">
        <f t="shared" si="17"/>
        <v>September</v>
      </c>
    </row>
    <row r="350" spans="1:19">
      <c r="A350" t="s">
        <v>543</v>
      </c>
      <c r="B350" s="2">
        <v>45913</v>
      </c>
      <c r="C350" t="s">
        <v>156</v>
      </c>
      <c r="D350" t="s">
        <v>127</v>
      </c>
      <c r="E350" t="s">
        <v>55</v>
      </c>
      <c r="F350" t="s">
        <v>56</v>
      </c>
      <c r="G350" t="s">
        <v>21</v>
      </c>
      <c r="H350" t="s">
        <v>83</v>
      </c>
      <c r="I350">
        <v>1</v>
      </c>
      <c r="J350">
        <v>12000</v>
      </c>
      <c r="K350">
        <v>0.05</v>
      </c>
      <c r="L350" t="s">
        <v>50</v>
      </c>
      <c r="M350" t="s">
        <v>51</v>
      </c>
      <c r="N350">
        <v>12000</v>
      </c>
      <c r="O350">
        <v>600</v>
      </c>
      <c r="P350">
        <v>11400</v>
      </c>
      <c r="Q350">
        <f t="shared" si="15"/>
        <v>2025</v>
      </c>
      <c r="R350">
        <f t="shared" si="16"/>
        <v>9</v>
      </c>
      <c r="S350" t="str">
        <f t="shared" si="17"/>
        <v>September</v>
      </c>
    </row>
    <row r="351" spans="1:19">
      <c r="A351" t="s">
        <v>544</v>
      </c>
      <c r="B351" s="2">
        <v>45914</v>
      </c>
      <c r="C351" t="s">
        <v>88</v>
      </c>
      <c r="D351" t="s">
        <v>74</v>
      </c>
      <c r="E351" t="s">
        <v>37</v>
      </c>
      <c r="F351" t="s">
        <v>136</v>
      </c>
      <c r="G351" t="s">
        <v>30</v>
      </c>
      <c r="H351" t="s">
        <v>31</v>
      </c>
      <c r="I351">
        <v>4</v>
      </c>
      <c r="J351">
        <v>25000</v>
      </c>
      <c r="K351">
        <v>0.1</v>
      </c>
      <c r="L351" t="s">
        <v>23</v>
      </c>
      <c r="M351" t="s">
        <v>45</v>
      </c>
      <c r="N351">
        <v>100000</v>
      </c>
      <c r="O351">
        <v>10000</v>
      </c>
      <c r="P351">
        <v>90000</v>
      </c>
      <c r="Q351">
        <f t="shared" si="15"/>
        <v>2025</v>
      </c>
      <c r="R351">
        <f t="shared" si="16"/>
        <v>9</v>
      </c>
      <c r="S351" t="str">
        <f t="shared" si="17"/>
        <v>September</v>
      </c>
    </row>
    <row r="352" spans="1:19">
      <c r="A352" t="s">
        <v>545</v>
      </c>
      <c r="B352" s="2">
        <v>45915</v>
      </c>
      <c r="C352" t="s">
        <v>35</v>
      </c>
      <c r="D352" t="s">
        <v>123</v>
      </c>
      <c r="E352" t="s">
        <v>19</v>
      </c>
      <c r="F352" t="s">
        <v>139</v>
      </c>
      <c r="G352" t="s">
        <v>57</v>
      </c>
      <c r="H352" t="s">
        <v>142</v>
      </c>
      <c r="I352">
        <v>2</v>
      </c>
      <c r="J352">
        <v>6000</v>
      </c>
      <c r="K352">
        <v>0.15</v>
      </c>
      <c r="L352" t="s">
        <v>44</v>
      </c>
      <c r="M352" t="s">
        <v>107</v>
      </c>
      <c r="N352">
        <v>12000</v>
      </c>
      <c r="O352">
        <v>1800</v>
      </c>
      <c r="P352">
        <v>10200</v>
      </c>
      <c r="Q352">
        <f t="shared" si="15"/>
        <v>2025</v>
      </c>
      <c r="R352">
        <f t="shared" si="16"/>
        <v>9</v>
      </c>
      <c r="S352" t="str">
        <f t="shared" si="17"/>
        <v>September</v>
      </c>
    </row>
    <row r="353" spans="1:19">
      <c r="A353" t="s">
        <v>546</v>
      </c>
      <c r="B353" s="2">
        <v>45916</v>
      </c>
      <c r="C353" t="s">
        <v>47</v>
      </c>
      <c r="D353" t="s">
        <v>89</v>
      </c>
      <c r="E353" t="s">
        <v>37</v>
      </c>
      <c r="F353" t="s">
        <v>38</v>
      </c>
      <c r="G353" t="s">
        <v>30</v>
      </c>
      <c r="H353" t="s">
        <v>31</v>
      </c>
      <c r="I353">
        <v>1</v>
      </c>
      <c r="J353">
        <v>55000</v>
      </c>
      <c r="K353">
        <v>0.05</v>
      </c>
      <c r="L353" t="s">
        <v>23</v>
      </c>
      <c r="M353" t="s">
        <v>91</v>
      </c>
      <c r="N353">
        <v>55000</v>
      </c>
      <c r="O353">
        <v>2750</v>
      </c>
      <c r="P353">
        <v>52250</v>
      </c>
      <c r="Q353">
        <f t="shared" si="15"/>
        <v>2025</v>
      </c>
      <c r="R353">
        <f t="shared" si="16"/>
        <v>9</v>
      </c>
      <c r="S353" t="str">
        <f t="shared" si="17"/>
        <v>September</v>
      </c>
    </row>
    <row r="354" spans="1:19">
      <c r="A354" t="s">
        <v>547</v>
      </c>
      <c r="B354" s="2">
        <v>45920</v>
      </c>
      <c r="C354" t="s">
        <v>60</v>
      </c>
      <c r="D354" t="s">
        <v>127</v>
      </c>
      <c r="E354" t="s">
        <v>37</v>
      </c>
      <c r="F354" t="s">
        <v>166</v>
      </c>
      <c r="G354" t="s">
        <v>30</v>
      </c>
      <c r="H354" t="s">
        <v>103</v>
      </c>
      <c r="I354">
        <v>4</v>
      </c>
      <c r="J354">
        <v>15000</v>
      </c>
      <c r="K354">
        <v>0.05</v>
      </c>
      <c r="L354" t="s">
        <v>23</v>
      </c>
      <c r="M354" t="s">
        <v>112</v>
      </c>
      <c r="N354">
        <v>60000</v>
      </c>
      <c r="O354">
        <v>3000</v>
      </c>
      <c r="P354">
        <v>57000</v>
      </c>
      <c r="Q354">
        <f t="shared" si="15"/>
        <v>2025</v>
      </c>
      <c r="R354">
        <f t="shared" si="16"/>
        <v>9</v>
      </c>
      <c r="S354" t="str">
        <f t="shared" si="17"/>
        <v>September</v>
      </c>
    </row>
    <row r="355" spans="1:19">
      <c r="A355" t="s">
        <v>548</v>
      </c>
      <c r="B355" s="2">
        <v>45921</v>
      </c>
      <c r="C355" t="s">
        <v>93</v>
      </c>
      <c r="D355" t="s">
        <v>153</v>
      </c>
      <c r="E355" t="s">
        <v>62</v>
      </c>
      <c r="F355" t="s">
        <v>293</v>
      </c>
      <c r="G355" t="s">
        <v>71</v>
      </c>
      <c r="H355" t="s">
        <v>72</v>
      </c>
      <c r="I355">
        <v>2</v>
      </c>
      <c r="J355">
        <v>500</v>
      </c>
      <c r="K355">
        <v>0</v>
      </c>
      <c r="L355" t="s">
        <v>32</v>
      </c>
      <c r="M355" t="s">
        <v>107</v>
      </c>
      <c r="N355">
        <v>1000</v>
      </c>
      <c r="O355">
        <v>0</v>
      </c>
      <c r="P355">
        <v>1000</v>
      </c>
      <c r="Q355">
        <f t="shared" si="15"/>
        <v>2025</v>
      </c>
      <c r="R355">
        <f t="shared" si="16"/>
        <v>9</v>
      </c>
      <c r="S355" t="str">
        <f t="shared" si="17"/>
        <v>September</v>
      </c>
    </row>
    <row r="356" spans="1:19">
      <c r="A356" t="s">
        <v>549</v>
      </c>
      <c r="B356" s="2">
        <v>45922</v>
      </c>
      <c r="C356" t="s">
        <v>325</v>
      </c>
      <c r="D356" t="s">
        <v>86</v>
      </c>
      <c r="E356" t="s">
        <v>19</v>
      </c>
      <c r="F356" t="s">
        <v>20</v>
      </c>
      <c r="G356" t="s">
        <v>21</v>
      </c>
      <c r="H356" t="s">
        <v>181</v>
      </c>
      <c r="I356">
        <v>5</v>
      </c>
      <c r="J356">
        <v>9000</v>
      </c>
      <c r="K356">
        <v>0</v>
      </c>
      <c r="L356" t="s">
        <v>23</v>
      </c>
      <c r="M356" t="s">
        <v>24</v>
      </c>
      <c r="N356">
        <v>45000</v>
      </c>
      <c r="O356">
        <v>0</v>
      </c>
      <c r="P356">
        <v>45000</v>
      </c>
      <c r="Q356">
        <f t="shared" si="15"/>
        <v>2025</v>
      </c>
      <c r="R356">
        <f t="shared" si="16"/>
        <v>9</v>
      </c>
      <c r="S356" t="str">
        <f t="shared" si="17"/>
        <v>September</v>
      </c>
    </row>
    <row r="357" spans="1:19">
      <c r="A357" t="s">
        <v>550</v>
      </c>
      <c r="B357" s="2">
        <v>45923</v>
      </c>
      <c r="C357" t="s">
        <v>479</v>
      </c>
      <c r="D357" t="s">
        <v>102</v>
      </c>
      <c r="E357" t="s">
        <v>28</v>
      </c>
      <c r="F357" t="s">
        <v>82</v>
      </c>
      <c r="G357" t="s">
        <v>57</v>
      </c>
      <c r="H357" t="s">
        <v>142</v>
      </c>
      <c r="I357">
        <v>3</v>
      </c>
      <c r="J357">
        <v>3500</v>
      </c>
      <c r="K357">
        <v>0.05</v>
      </c>
      <c r="L357" t="s">
        <v>50</v>
      </c>
      <c r="M357" t="s">
        <v>24</v>
      </c>
      <c r="N357">
        <v>10500</v>
      </c>
      <c r="O357">
        <v>525</v>
      </c>
      <c r="P357">
        <v>9975</v>
      </c>
      <c r="Q357">
        <f t="shared" si="15"/>
        <v>2025</v>
      </c>
      <c r="R357">
        <f t="shared" si="16"/>
        <v>9</v>
      </c>
      <c r="S357" t="str">
        <f t="shared" si="17"/>
        <v>September</v>
      </c>
    </row>
    <row r="358" spans="1:19">
      <c r="A358" t="s">
        <v>551</v>
      </c>
      <c r="B358" s="2">
        <v>45924</v>
      </c>
      <c r="C358" t="s">
        <v>391</v>
      </c>
      <c r="D358" t="s">
        <v>135</v>
      </c>
      <c r="E358" t="s">
        <v>19</v>
      </c>
      <c r="F358" t="s">
        <v>124</v>
      </c>
      <c r="G358" t="s">
        <v>21</v>
      </c>
      <c r="H358" t="s">
        <v>181</v>
      </c>
      <c r="I358">
        <v>3</v>
      </c>
      <c r="J358">
        <v>7000</v>
      </c>
      <c r="K358">
        <v>0</v>
      </c>
      <c r="L358" t="s">
        <v>44</v>
      </c>
      <c r="M358" t="s">
        <v>24</v>
      </c>
      <c r="N358">
        <v>21000</v>
      </c>
      <c r="O358">
        <v>0</v>
      </c>
      <c r="P358">
        <v>21000</v>
      </c>
      <c r="Q358">
        <f t="shared" si="15"/>
        <v>2025</v>
      </c>
      <c r="R358">
        <f t="shared" si="16"/>
        <v>9</v>
      </c>
      <c r="S358" t="str">
        <f t="shared" si="17"/>
        <v>September</v>
      </c>
    </row>
    <row r="359" spans="1:19">
      <c r="A359" t="s">
        <v>552</v>
      </c>
      <c r="B359" s="2">
        <v>45925</v>
      </c>
      <c r="C359" t="s">
        <v>195</v>
      </c>
      <c r="D359" t="s">
        <v>135</v>
      </c>
      <c r="E359" t="s">
        <v>55</v>
      </c>
      <c r="F359" t="s">
        <v>56</v>
      </c>
      <c r="G359" t="s">
        <v>71</v>
      </c>
      <c r="H359" t="s">
        <v>99</v>
      </c>
      <c r="I359">
        <v>5</v>
      </c>
      <c r="J359">
        <v>12000</v>
      </c>
      <c r="K359">
        <v>0.15</v>
      </c>
      <c r="L359" t="s">
        <v>23</v>
      </c>
      <c r="M359" t="s">
        <v>51</v>
      </c>
      <c r="N359">
        <v>60000</v>
      </c>
      <c r="O359">
        <v>9000</v>
      </c>
      <c r="P359">
        <v>51000</v>
      </c>
      <c r="Q359">
        <f t="shared" si="15"/>
        <v>2025</v>
      </c>
      <c r="R359">
        <f t="shared" si="16"/>
        <v>9</v>
      </c>
      <c r="S359" t="str">
        <f t="shared" si="17"/>
        <v>September</v>
      </c>
    </row>
    <row r="360" spans="1:19">
      <c r="A360" t="s">
        <v>553</v>
      </c>
      <c r="B360" s="2">
        <v>45925</v>
      </c>
      <c r="C360" t="s">
        <v>138</v>
      </c>
      <c r="D360" t="s">
        <v>81</v>
      </c>
      <c r="E360" t="s">
        <v>37</v>
      </c>
      <c r="F360" t="s">
        <v>38</v>
      </c>
      <c r="G360" t="s">
        <v>21</v>
      </c>
      <c r="H360" t="s">
        <v>181</v>
      </c>
      <c r="I360">
        <v>1</v>
      </c>
      <c r="J360">
        <v>55000</v>
      </c>
      <c r="K360">
        <v>0</v>
      </c>
      <c r="L360" t="s">
        <v>50</v>
      </c>
      <c r="M360" t="s">
        <v>112</v>
      </c>
      <c r="N360">
        <v>55000</v>
      </c>
      <c r="O360">
        <v>0</v>
      </c>
      <c r="P360">
        <v>55000</v>
      </c>
      <c r="Q360">
        <f t="shared" si="15"/>
        <v>2025</v>
      </c>
      <c r="R360">
        <f t="shared" si="16"/>
        <v>9</v>
      </c>
      <c r="S360" t="str">
        <f t="shared" si="17"/>
        <v>September</v>
      </c>
    </row>
    <row r="361" spans="1:19">
      <c r="A361" t="s">
        <v>554</v>
      </c>
      <c r="B361" s="2">
        <v>45925</v>
      </c>
      <c r="C361" t="s">
        <v>17</v>
      </c>
      <c r="D361" t="s">
        <v>18</v>
      </c>
      <c r="E361" t="s">
        <v>62</v>
      </c>
      <c r="F361" t="s">
        <v>78</v>
      </c>
      <c r="G361" t="s">
        <v>71</v>
      </c>
      <c r="H361" t="s">
        <v>99</v>
      </c>
      <c r="I361">
        <v>2</v>
      </c>
      <c r="J361">
        <v>250</v>
      </c>
      <c r="K361">
        <v>0.15</v>
      </c>
      <c r="L361" t="s">
        <v>44</v>
      </c>
      <c r="M361" t="s">
        <v>39</v>
      </c>
      <c r="N361">
        <v>500</v>
      </c>
      <c r="O361">
        <v>75</v>
      </c>
      <c r="P361">
        <v>425</v>
      </c>
      <c r="Q361">
        <f t="shared" si="15"/>
        <v>2025</v>
      </c>
      <c r="R361">
        <f t="shared" si="16"/>
        <v>9</v>
      </c>
      <c r="S361" t="str">
        <f t="shared" si="17"/>
        <v>September</v>
      </c>
    </row>
    <row r="362" spans="1:19">
      <c r="A362" t="s">
        <v>555</v>
      </c>
      <c r="B362" s="2">
        <v>45926</v>
      </c>
      <c r="C362" t="s">
        <v>122</v>
      </c>
      <c r="D362" t="s">
        <v>54</v>
      </c>
      <c r="E362" t="s">
        <v>28</v>
      </c>
      <c r="F362" t="s">
        <v>82</v>
      </c>
      <c r="G362" t="s">
        <v>71</v>
      </c>
      <c r="H362" t="s">
        <v>187</v>
      </c>
      <c r="I362">
        <v>5</v>
      </c>
      <c r="J362">
        <v>3500</v>
      </c>
      <c r="K362">
        <v>0.1</v>
      </c>
      <c r="L362" t="s">
        <v>23</v>
      </c>
      <c r="M362" t="s">
        <v>24</v>
      </c>
      <c r="N362">
        <v>17500</v>
      </c>
      <c r="O362">
        <v>1750</v>
      </c>
      <c r="P362">
        <v>15750</v>
      </c>
      <c r="Q362">
        <f t="shared" si="15"/>
        <v>2025</v>
      </c>
      <c r="R362">
        <f t="shared" si="16"/>
        <v>9</v>
      </c>
      <c r="S362" t="str">
        <f t="shared" si="17"/>
        <v>September</v>
      </c>
    </row>
    <row r="363" spans="1:19">
      <c r="A363" t="s">
        <v>556</v>
      </c>
      <c r="B363" s="2">
        <v>45927</v>
      </c>
      <c r="C363" t="s">
        <v>434</v>
      </c>
      <c r="D363" t="s">
        <v>115</v>
      </c>
      <c r="E363" t="s">
        <v>28</v>
      </c>
      <c r="F363" t="s">
        <v>82</v>
      </c>
      <c r="G363" t="s">
        <v>71</v>
      </c>
      <c r="H363" t="s">
        <v>128</v>
      </c>
      <c r="I363">
        <v>5</v>
      </c>
      <c r="J363">
        <v>3500</v>
      </c>
      <c r="K363">
        <v>0.05</v>
      </c>
      <c r="L363" t="s">
        <v>32</v>
      </c>
      <c r="M363" t="s">
        <v>45</v>
      </c>
      <c r="N363">
        <v>17500</v>
      </c>
      <c r="O363">
        <v>875</v>
      </c>
      <c r="P363">
        <v>16625</v>
      </c>
      <c r="Q363">
        <f t="shared" si="15"/>
        <v>2025</v>
      </c>
      <c r="R363">
        <f t="shared" si="16"/>
        <v>9</v>
      </c>
      <c r="S363" t="str">
        <f t="shared" si="17"/>
        <v>September</v>
      </c>
    </row>
    <row r="364" spans="1:19">
      <c r="A364" t="s">
        <v>557</v>
      </c>
      <c r="B364" s="2">
        <v>45928</v>
      </c>
      <c r="C364" t="s">
        <v>419</v>
      </c>
      <c r="D364" t="s">
        <v>123</v>
      </c>
      <c r="E364" t="s">
        <v>37</v>
      </c>
      <c r="F364" t="s">
        <v>166</v>
      </c>
      <c r="G364" t="s">
        <v>21</v>
      </c>
      <c r="H364" t="s">
        <v>185</v>
      </c>
      <c r="I364">
        <v>2</v>
      </c>
      <c r="J364">
        <v>15000</v>
      </c>
      <c r="K364">
        <v>0</v>
      </c>
      <c r="L364" t="s">
        <v>32</v>
      </c>
      <c r="M364" t="s">
        <v>24</v>
      </c>
      <c r="N364">
        <v>30000</v>
      </c>
      <c r="O364">
        <v>0</v>
      </c>
      <c r="P364">
        <v>30000</v>
      </c>
      <c r="Q364">
        <f t="shared" si="15"/>
        <v>2025</v>
      </c>
      <c r="R364">
        <f t="shared" si="16"/>
        <v>9</v>
      </c>
      <c r="S364" t="str">
        <f t="shared" si="17"/>
        <v>September</v>
      </c>
    </row>
    <row r="365" spans="1:19">
      <c r="A365" t="s">
        <v>558</v>
      </c>
      <c r="B365" s="2">
        <v>45928</v>
      </c>
      <c r="C365" t="s">
        <v>559</v>
      </c>
      <c r="D365" t="s">
        <v>18</v>
      </c>
      <c r="E365" t="s">
        <v>28</v>
      </c>
      <c r="F365" t="s">
        <v>29</v>
      </c>
      <c r="G365" t="s">
        <v>71</v>
      </c>
      <c r="H365" t="s">
        <v>187</v>
      </c>
      <c r="I365">
        <v>4</v>
      </c>
      <c r="J365">
        <v>4000</v>
      </c>
      <c r="K365">
        <v>0.15</v>
      </c>
      <c r="L365" t="s">
        <v>44</v>
      </c>
      <c r="M365" t="s">
        <v>45</v>
      </c>
      <c r="N365">
        <v>16000</v>
      </c>
      <c r="O365">
        <v>2400</v>
      </c>
      <c r="P365">
        <v>13600</v>
      </c>
      <c r="Q365">
        <f t="shared" si="15"/>
        <v>2025</v>
      </c>
      <c r="R365">
        <f t="shared" si="16"/>
        <v>9</v>
      </c>
      <c r="S365" t="str">
        <f t="shared" si="17"/>
        <v>September</v>
      </c>
    </row>
    <row r="366" spans="1:19">
      <c r="A366" t="s">
        <v>560</v>
      </c>
      <c r="B366" s="2">
        <v>45928</v>
      </c>
      <c r="C366" t="s">
        <v>372</v>
      </c>
      <c r="D366" t="s">
        <v>123</v>
      </c>
      <c r="E366" t="s">
        <v>28</v>
      </c>
      <c r="F366" t="s">
        <v>148</v>
      </c>
      <c r="G366" t="s">
        <v>30</v>
      </c>
      <c r="H366" t="s">
        <v>103</v>
      </c>
      <c r="I366">
        <v>4</v>
      </c>
      <c r="J366">
        <v>1800</v>
      </c>
      <c r="K366">
        <v>0.05</v>
      </c>
      <c r="L366" t="s">
        <v>32</v>
      </c>
      <c r="M366" t="s">
        <v>51</v>
      </c>
      <c r="N366">
        <v>7200</v>
      </c>
      <c r="O366">
        <v>360</v>
      </c>
      <c r="P366">
        <v>6840</v>
      </c>
      <c r="Q366">
        <f t="shared" si="15"/>
        <v>2025</v>
      </c>
      <c r="R366">
        <f t="shared" si="16"/>
        <v>9</v>
      </c>
      <c r="S366" t="str">
        <f t="shared" si="17"/>
        <v>September</v>
      </c>
    </row>
    <row r="367" spans="1:19">
      <c r="A367" t="s">
        <v>561</v>
      </c>
      <c r="B367" s="2">
        <v>45929</v>
      </c>
      <c r="C367" t="s">
        <v>559</v>
      </c>
      <c r="D367" t="s">
        <v>123</v>
      </c>
      <c r="E367" t="s">
        <v>55</v>
      </c>
      <c r="F367" t="s">
        <v>154</v>
      </c>
      <c r="G367" t="s">
        <v>71</v>
      </c>
      <c r="H367" t="s">
        <v>72</v>
      </c>
      <c r="I367">
        <v>4</v>
      </c>
      <c r="J367">
        <v>9500</v>
      </c>
      <c r="K367">
        <v>0.15</v>
      </c>
      <c r="L367" t="s">
        <v>23</v>
      </c>
      <c r="M367" t="s">
        <v>39</v>
      </c>
      <c r="N367">
        <v>38000</v>
      </c>
      <c r="O367">
        <v>5700</v>
      </c>
      <c r="P367">
        <v>32300</v>
      </c>
      <c r="Q367">
        <f t="shared" si="15"/>
        <v>2025</v>
      </c>
      <c r="R367">
        <f t="shared" si="16"/>
        <v>9</v>
      </c>
      <c r="S367" t="str">
        <f t="shared" si="17"/>
        <v>September</v>
      </c>
    </row>
    <row r="368" spans="1:19">
      <c r="A368" t="s">
        <v>562</v>
      </c>
      <c r="B368" s="2">
        <v>45930</v>
      </c>
      <c r="C368" t="s">
        <v>419</v>
      </c>
      <c r="D368" t="s">
        <v>54</v>
      </c>
      <c r="E368" t="s">
        <v>62</v>
      </c>
      <c r="F368" t="s">
        <v>169</v>
      </c>
      <c r="G368" t="s">
        <v>21</v>
      </c>
      <c r="H368" t="s">
        <v>185</v>
      </c>
      <c r="I368">
        <v>1</v>
      </c>
      <c r="J368">
        <v>1200</v>
      </c>
      <c r="K368">
        <v>0</v>
      </c>
      <c r="L368" t="s">
        <v>32</v>
      </c>
      <c r="M368" t="s">
        <v>24</v>
      </c>
      <c r="N368">
        <v>1200</v>
      </c>
      <c r="O368">
        <v>0</v>
      </c>
      <c r="P368">
        <v>1200</v>
      </c>
      <c r="Q368">
        <f t="shared" si="15"/>
        <v>2025</v>
      </c>
      <c r="R368">
        <f t="shared" si="16"/>
        <v>9</v>
      </c>
      <c r="S368" t="str">
        <f t="shared" si="17"/>
        <v>September</v>
      </c>
    </row>
    <row r="369" spans="1:19">
      <c r="A369" t="s">
        <v>563</v>
      </c>
      <c r="B369" s="2">
        <v>45930</v>
      </c>
      <c r="C369" t="s">
        <v>111</v>
      </c>
      <c r="D369" t="s">
        <v>228</v>
      </c>
      <c r="E369" t="s">
        <v>55</v>
      </c>
      <c r="F369" t="s">
        <v>56</v>
      </c>
      <c r="G369" t="s">
        <v>21</v>
      </c>
      <c r="H369" t="s">
        <v>83</v>
      </c>
      <c r="I369">
        <v>2</v>
      </c>
      <c r="J369">
        <v>12000</v>
      </c>
      <c r="K369">
        <v>0</v>
      </c>
      <c r="L369" t="s">
        <v>50</v>
      </c>
      <c r="M369" t="s">
        <v>24</v>
      </c>
      <c r="N369">
        <v>24000</v>
      </c>
      <c r="O369">
        <v>0</v>
      </c>
      <c r="P369">
        <v>24000</v>
      </c>
      <c r="Q369">
        <f t="shared" si="15"/>
        <v>2025</v>
      </c>
      <c r="R369">
        <f t="shared" si="16"/>
        <v>9</v>
      </c>
      <c r="S369" t="str">
        <f t="shared" si="17"/>
        <v>September</v>
      </c>
    </row>
    <row r="370" spans="1:19">
      <c r="A370" t="s">
        <v>564</v>
      </c>
      <c r="B370" s="2">
        <v>45932</v>
      </c>
      <c r="C370" t="s">
        <v>384</v>
      </c>
      <c r="D370" t="s">
        <v>74</v>
      </c>
      <c r="E370" t="s">
        <v>37</v>
      </c>
      <c r="F370" t="s">
        <v>38</v>
      </c>
      <c r="G370" t="s">
        <v>71</v>
      </c>
      <c r="H370" t="s">
        <v>128</v>
      </c>
      <c r="I370">
        <v>3</v>
      </c>
      <c r="J370">
        <v>55000</v>
      </c>
      <c r="K370">
        <v>0.1</v>
      </c>
      <c r="L370" t="s">
        <v>32</v>
      </c>
      <c r="M370" t="s">
        <v>107</v>
      </c>
      <c r="N370">
        <v>165000</v>
      </c>
      <c r="O370">
        <v>16500</v>
      </c>
      <c r="P370">
        <v>148500</v>
      </c>
      <c r="Q370">
        <f t="shared" si="15"/>
        <v>2025</v>
      </c>
      <c r="R370">
        <f t="shared" si="16"/>
        <v>10</v>
      </c>
      <c r="S370" t="str">
        <f t="shared" si="17"/>
        <v>October</v>
      </c>
    </row>
    <row r="371" spans="1:19">
      <c r="A371" t="s">
        <v>565</v>
      </c>
      <c r="B371" s="2">
        <v>45933</v>
      </c>
      <c r="C371" t="s">
        <v>93</v>
      </c>
      <c r="D371" t="s">
        <v>120</v>
      </c>
      <c r="E371" t="s">
        <v>62</v>
      </c>
      <c r="F371" t="s">
        <v>94</v>
      </c>
      <c r="G371" t="s">
        <v>57</v>
      </c>
      <c r="H371" t="s">
        <v>58</v>
      </c>
      <c r="I371">
        <v>5</v>
      </c>
      <c r="J371">
        <v>120</v>
      </c>
      <c r="K371">
        <v>0.05</v>
      </c>
      <c r="L371" t="s">
        <v>23</v>
      </c>
      <c r="M371" t="s">
        <v>107</v>
      </c>
      <c r="N371">
        <v>600</v>
      </c>
      <c r="O371">
        <v>30</v>
      </c>
      <c r="P371">
        <v>570</v>
      </c>
      <c r="Q371">
        <f t="shared" si="15"/>
        <v>2025</v>
      </c>
      <c r="R371">
        <f t="shared" si="16"/>
        <v>10</v>
      </c>
      <c r="S371" t="str">
        <f t="shared" si="17"/>
        <v>October</v>
      </c>
    </row>
    <row r="372" spans="1:19">
      <c r="A372" t="s">
        <v>566</v>
      </c>
      <c r="B372" s="2">
        <v>45933</v>
      </c>
      <c r="C372" t="s">
        <v>198</v>
      </c>
      <c r="D372" t="s">
        <v>36</v>
      </c>
      <c r="E372" t="s">
        <v>37</v>
      </c>
      <c r="F372" t="s">
        <v>90</v>
      </c>
      <c r="G372" t="s">
        <v>30</v>
      </c>
      <c r="H372" t="s">
        <v>125</v>
      </c>
      <c r="I372">
        <v>2</v>
      </c>
      <c r="J372">
        <v>900</v>
      </c>
      <c r="K372">
        <v>0.1</v>
      </c>
      <c r="L372" t="s">
        <v>44</v>
      </c>
      <c r="M372" t="s">
        <v>51</v>
      </c>
      <c r="N372">
        <v>1800</v>
      </c>
      <c r="O372">
        <v>180</v>
      </c>
      <c r="P372">
        <v>1620</v>
      </c>
      <c r="Q372">
        <f t="shared" si="15"/>
        <v>2025</v>
      </c>
      <c r="R372">
        <f t="shared" si="16"/>
        <v>10</v>
      </c>
      <c r="S372" t="str">
        <f t="shared" si="17"/>
        <v>October</v>
      </c>
    </row>
    <row r="373" spans="1:19">
      <c r="A373" t="s">
        <v>567</v>
      </c>
      <c r="B373" s="2">
        <v>45934</v>
      </c>
      <c r="C373" t="s">
        <v>85</v>
      </c>
      <c r="D373" t="s">
        <v>153</v>
      </c>
      <c r="E373" t="s">
        <v>28</v>
      </c>
      <c r="F373" t="s">
        <v>148</v>
      </c>
      <c r="G373" t="s">
        <v>30</v>
      </c>
      <c r="H373" t="s">
        <v>103</v>
      </c>
      <c r="I373">
        <v>1</v>
      </c>
      <c r="J373">
        <v>1800</v>
      </c>
      <c r="K373">
        <v>0</v>
      </c>
      <c r="L373" t="s">
        <v>50</v>
      </c>
      <c r="M373" t="s">
        <v>39</v>
      </c>
      <c r="N373">
        <v>1800</v>
      </c>
      <c r="O373">
        <v>0</v>
      </c>
      <c r="P373">
        <v>1800</v>
      </c>
      <c r="Q373">
        <f t="shared" si="15"/>
        <v>2025</v>
      </c>
      <c r="R373">
        <f t="shared" si="16"/>
        <v>10</v>
      </c>
      <c r="S373" t="str">
        <f t="shared" si="17"/>
        <v>October</v>
      </c>
    </row>
    <row r="374" spans="1:19">
      <c r="A374" t="s">
        <v>568</v>
      </c>
      <c r="B374" s="2">
        <v>45934</v>
      </c>
      <c r="C374" t="s">
        <v>227</v>
      </c>
      <c r="D374" t="s">
        <v>74</v>
      </c>
      <c r="E374" t="s">
        <v>55</v>
      </c>
      <c r="F374" t="s">
        <v>145</v>
      </c>
      <c r="G374" t="s">
        <v>30</v>
      </c>
      <c r="H374" t="s">
        <v>49</v>
      </c>
      <c r="I374">
        <v>1</v>
      </c>
      <c r="J374">
        <v>1800</v>
      </c>
      <c r="K374">
        <v>0</v>
      </c>
      <c r="L374" t="s">
        <v>23</v>
      </c>
      <c r="M374" t="s">
        <v>39</v>
      </c>
      <c r="N374">
        <v>1800</v>
      </c>
      <c r="O374">
        <v>0</v>
      </c>
      <c r="P374">
        <v>1800</v>
      </c>
      <c r="Q374">
        <f t="shared" si="15"/>
        <v>2025</v>
      </c>
      <c r="R374">
        <f t="shared" si="16"/>
        <v>10</v>
      </c>
      <c r="S374" t="str">
        <f t="shared" si="17"/>
        <v>October</v>
      </c>
    </row>
    <row r="375" spans="1:19">
      <c r="A375" t="s">
        <v>569</v>
      </c>
      <c r="B375" s="2">
        <v>45935</v>
      </c>
      <c r="C375" t="s">
        <v>453</v>
      </c>
      <c r="D375" t="s">
        <v>61</v>
      </c>
      <c r="E375" t="s">
        <v>55</v>
      </c>
      <c r="F375" t="s">
        <v>56</v>
      </c>
      <c r="G375" t="s">
        <v>71</v>
      </c>
      <c r="H375" t="s">
        <v>99</v>
      </c>
      <c r="I375">
        <v>4</v>
      </c>
      <c r="J375">
        <v>12000</v>
      </c>
      <c r="K375">
        <v>0</v>
      </c>
      <c r="L375" t="s">
        <v>50</v>
      </c>
      <c r="M375" t="s">
        <v>112</v>
      </c>
      <c r="N375">
        <v>48000</v>
      </c>
      <c r="O375">
        <v>0</v>
      </c>
      <c r="P375">
        <v>48000</v>
      </c>
      <c r="Q375">
        <f t="shared" si="15"/>
        <v>2025</v>
      </c>
      <c r="R375">
        <f t="shared" si="16"/>
        <v>10</v>
      </c>
      <c r="S375" t="str">
        <f t="shared" si="17"/>
        <v>October</v>
      </c>
    </row>
    <row r="376" spans="1:19">
      <c r="A376" t="s">
        <v>570</v>
      </c>
      <c r="B376" s="2">
        <v>45937</v>
      </c>
      <c r="C376" t="s">
        <v>391</v>
      </c>
      <c r="D376" t="s">
        <v>18</v>
      </c>
      <c r="E376" t="s">
        <v>37</v>
      </c>
      <c r="F376" t="s">
        <v>166</v>
      </c>
      <c r="G376" t="s">
        <v>71</v>
      </c>
      <c r="H376" t="s">
        <v>72</v>
      </c>
      <c r="I376">
        <v>3</v>
      </c>
      <c r="J376">
        <v>15000</v>
      </c>
      <c r="K376">
        <v>0</v>
      </c>
      <c r="L376" t="s">
        <v>50</v>
      </c>
      <c r="M376" t="s">
        <v>91</v>
      </c>
      <c r="N376">
        <v>45000</v>
      </c>
      <c r="O376">
        <v>0</v>
      </c>
      <c r="P376">
        <v>45000</v>
      </c>
      <c r="Q376">
        <f t="shared" si="15"/>
        <v>2025</v>
      </c>
      <c r="R376">
        <f t="shared" si="16"/>
        <v>10</v>
      </c>
      <c r="S376" t="str">
        <f t="shared" si="17"/>
        <v>October</v>
      </c>
    </row>
    <row r="377" spans="1:19">
      <c r="A377" t="s">
        <v>571</v>
      </c>
      <c r="B377" s="2">
        <v>45938</v>
      </c>
      <c r="C377" t="s">
        <v>453</v>
      </c>
      <c r="D377" t="s">
        <v>69</v>
      </c>
      <c r="E377" t="s">
        <v>28</v>
      </c>
      <c r="F377" t="s">
        <v>130</v>
      </c>
      <c r="G377" t="s">
        <v>71</v>
      </c>
      <c r="H377" t="s">
        <v>128</v>
      </c>
      <c r="I377">
        <v>3</v>
      </c>
      <c r="J377">
        <v>2200</v>
      </c>
      <c r="K377">
        <v>0.05</v>
      </c>
      <c r="L377" t="s">
        <v>44</v>
      </c>
      <c r="M377" t="s">
        <v>24</v>
      </c>
      <c r="N377">
        <v>6600</v>
      </c>
      <c r="O377">
        <v>330</v>
      </c>
      <c r="P377">
        <v>6270</v>
      </c>
      <c r="Q377">
        <f t="shared" si="15"/>
        <v>2025</v>
      </c>
      <c r="R377">
        <f t="shared" si="16"/>
        <v>10</v>
      </c>
      <c r="S377" t="str">
        <f t="shared" si="17"/>
        <v>October</v>
      </c>
    </row>
    <row r="378" spans="1:19">
      <c r="A378" t="s">
        <v>572</v>
      </c>
      <c r="B378" s="2">
        <v>45939</v>
      </c>
      <c r="C378" t="s">
        <v>47</v>
      </c>
      <c r="D378" t="s">
        <v>228</v>
      </c>
      <c r="E378" t="s">
        <v>62</v>
      </c>
      <c r="F378" t="s">
        <v>169</v>
      </c>
      <c r="G378" t="s">
        <v>30</v>
      </c>
      <c r="H378" t="s">
        <v>125</v>
      </c>
      <c r="I378">
        <v>5</v>
      </c>
      <c r="J378">
        <v>1200</v>
      </c>
      <c r="K378">
        <v>0.05</v>
      </c>
      <c r="L378" t="s">
        <v>23</v>
      </c>
      <c r="M378" t="s">
        <v>39</v>
      </c>
      <c r="N378">
        <v>6000</v>
      </c>
      <c r="O378">
        <v>300</v>
      </c>
      <c r="P378">
        <v>5700</v>
      </c>
      <c r="Q378">
        <f t="shared" si="15"/>
        <v>2025</v>
      </c>
      <c r="R378">
        <f t="shared" si="16"/>
        <v>10</v>
      </c>
      <c r="S378" t="str">
        <f t="shared" si="17"/>
        <v>October</v>
      </c>
    </row>
    <row r="379" spans="1:19">
      <c r="A379" t="s">
        <v>573</v>
      </c>
      <c r="B379" s="2">
        <v>45940</v>
      </c>
      <c r="C379" t="s">
        <v>281</v>
      </c>
      <c r="D379" t="s">
        <v>102</v>
      </c>
      <c r="E379" t="s">
        <v>37</v>
      </c>
      <c r="F379" t="s">
        <v>196</v>
      </c>
      <c r="G379" t="s">
        <v>21</v>
      </c>
      <c r="H379" t="s">
        <v>185</v>
      </c>
      <c r="I379">
        <v>1</v>
      </c>
      <c r="J379">
        <v>2500</v>
      </c>
      <c r="K379">
        <v>0.05</v>
      </c>
      <c r="L379" t="s">
        <v>50</v>
      </c>
      <c r="M379" t="s">
        <v>51</v>
      </c>
      <c r="N379">
        <v>2500</v>
      </c>
      <c r="O379">
        <v>125</v>
      </c>
      <c r="P379">
        <v>2375</v>
      </c>
      <c r="Q379">
        <f t="shared" si="15"/>
        <v>2025</v>
      </c>
      <c r="R379">
        <f t="shared" si="16"/>
        <v>10</v>
      </c>
      <c r="S379" t="str">
        <f t="shared" si="17"/>
        <v>October</v>
      </c>
    </row>
    <row r="380" spans="1:19">
      <c r="A380" t="s">
        <v>574</v>
      </c>
      <c r="B380" s="2">
        <v>45940</v>
      </c>
      <c r="C380" t="s">
        <v>575</v>
      </c>
      <c r="D380" t="s">
        <v>228</v>
      </c>
      <c r="E380" t="s">
        <v>28</v>
      </c>
      <c r="F380" t="s">
        <v>233</v>
      </c>
      <c r="G380" t="s">
        <v>57</v>
      </c>
      <c r="H380" t="s">
        <v>142</v>
      </c>
      <c r="I380">
        <v>3</v>
      </c>
      <c r="J380">
        <v>2800</v>
      </c>
      <c r="K380">
        <v>0.05</v>
      </c>
      <c r="L380" t="s">
        <v>32</v>
      </c>
      <c r="M380" t="s">
        <v>39</v>
      </c>
      <c r="N380">
        <v>8400</v>
      </c>
      <c r="O380">
        <v>420</v>
      </c>
      <c r="P380">
        <v>7980</v>
      </c>
      <c r="Q380">
        <f t="shared" si="15"/>
        <v>2025</v>
      </c>
      <c r="R380">
        <f t="shared" si="16"/>
        <v>10</v>
      </c>
      <c r="S380" t="str">
        <f t="shared" si="17"/>
        <v>October</v>
      </c>
    </row>
    <row r="381" spans="1:19">
      <c r="A381" t="s">
        <v>576</v>
      </c>
      <c r="B381" s="2">
        <v>45940</v>
      </c>
      <c r="C381" t="s">
        <v>453</v>
      </c>
      <c r="D381" t="s">
        <v>54</v>
      </c>
      <c r="E381" t="s">
        <v>37</v>
      </c>
      <c r="F381" t="s">
        <v>166</v>
      </c>
      <c r="G381" t="s">
        <v>30</v>
      </c>
      <c r="H381" t="s">
        <v>103</v>
      </c>
      <c r="I381">
        <v>3</v>
      </c>
      <c r="J381">
        <v>15000</v>
      </c>
      <c r="K381">
        <v>0</v>
      </c>
      <c r="L381" t="s">
        <v>44</v>
      </c>
      <c r="M381" t="s">
        <v>33</v>
      </c>
      <c r="N381">
        <v>45000</v>
      </c>
      <c r="O381">
        <v>0</v>
      </c>
      <c r="P381">
        <v>45000</v>
      </c>
      <c r="Q381">
        <f t="shared" si="15"/>
        <v>2025</v>
      </c>
      <c r="R381">
        <f t="shared" si="16"/>
        <v>10</v>
      </c>
      <c r="S381" t="str">
        <f t="shared" si="17"/>
        <v>October</v>
      </c>
    </row>
    <row r="382" spans="1:19">
      <c r="A382" t="s">
        <v>577</v>
      </c>
      <c r="B382" s="2">
        <v>45940</v>
      </c>
      <c r="C382" t="s">
        <v>453</v>
      </c>
      <c r="D382" t="s">
        <v>153</v>
      </c>
      <c r="E382" t="s">
        <v>28</v>
      </c>
      <c r="F382" t="s">
        <v>66</v>
      </c>
      <c r="G382" t="s">
        <v>71</v>
      </c>
      <c r="H382" t="s">
        <v>72</v>
      </c>
      <c r="I382">
        <v>3</v>
      </c>
      <c r="J382">
        <v>900</v>
      </c>
      <c r="K382">
        <v>0.05</v>
      </c>
      <c r="L382" t="s">
        <v>32</v>
      </c>
      <c r="M382" t="s">
        <v>51</v>
      </c>
      <c r="N382">
        <v>2700</v>
      </c>
      <c r="O382">
        <v>135</v>
      </c>
      <c r="P382">
        <v>2565</v>
      </c>
      <c r="Q382">
        <f t="shared" si="15"/>
        <v>2025</v>
      </c>
      <c r="R382">
        <f t="shared" si="16"/>
        <v>10</v>
      </c>
      <c r="S382" t="str">
        <f t="shared" si="17"/>
        <v>October</v>
      </c>
    </row>
    <row r="383" spans="1:19">
      <c r="A383" t="s">
        <v>578</v>
      </c>
      <c r="B383" s="2">
        <v>45940</v>
      </c>
      <c r="C383" t="s">
        <v>183</v>
      </c>
      <c r="D383" t="s">
        <v>18</v>
      </c>
      <c r="E383" t="s">
        <v>37</v>
      </c>
      <c r="F383" t="s">
        <v>90</v>
      </c>
      <c r="G383" t="s">
        <v>57</v>
      </c>
      <c r="H383" t="s">
        <v>97</v>
      </c>
      <c r="I383">
        <v>1</v>
      </c>
      <c r="J383">
        <v>900</v>
      </c>
      <c r="K383">
        <v>0.15</v>
      </c>
      <c r="L383" t="s">
        <v>32</v>
      </c>
      <c r="M383" t="s">
        <v>91</v>
      </c>
      <c r="N383">
        <v>900</v>
      </c>
      <c r="O383">
        <v>135</v>
      </c>
      <c r="P383">
        <v>765</v>
      </c>
      <c r="Q383">
        <f t="shared" si="15"/>
        <v>2025</v>
      </c>
      <c r="R383">
        <f t="shared" si="16"/>
        <v>10</v>
      </c>
      <c r="S383" t="str">
        <f t="shared" si="17"/>
        <v>October</v>
      </c>
    </row>
    <row r="384" spans="1:19">
      <c r="A384" t="s">
        <v>579</v>
      </c>
      <c r="B384" s="2">
        <v>45940</v>
      </c>
      <c r="C384" t="s">
        <v>272</v>
      </c>
      <c r="D384" t="s">
        <v>61</v>
      </c>
      <c r="E384" t="s">
        <v>28</v>
      </c>
      <c r="F384" t="s">
        <v>233</v>
      </c>
      <c r="G384" t="s">
        <v>57</v>
      </c>
      <c r="H384" t="s">
        <v>97</v>
      </c>
      <c r="I384">
        <v>5</v>
      </c>
      <c r="J384">
        <v>2800</v>
      </c>
      <c r="K384">
        <v>0</v>
      </c>
      <c r="L384" t="s">
        <v>32</v>
      </c>
      <c r="M384" t="s">
        <v>33</v>
      </c>
      <c r="N384">
        <v>14000</v>
      </c>
      <c r="O384">
        <v>0</v>
      </c>
      <c r="P384">
        <v>14000</v>
      </c>
      <c r="Q384">
        <f t="shared" si="15"/>
        <v>2025</v>
      </c>
      <c r="R384">
        <f t="shared" si="16"/>
        <v>10</v>
      </c>
      <c r="S384" t="str">
        <f t="shared" si="17"/>
        <v>October</v>
      </c>
    </row>
    <row r="385" spans="1:19">
      <c r="A385" t="s">
        <v>580</v>
      </c>
      <c r="B385" s="2">
        <v>45941</v>
      </c>
      <c r="C385" t="s">
        <v>26</v>
      </c>
      <c r="D385" t="s">
        <v>61</v>
      </c>
      <c r="E385" t="s">
        <v>55</v>
      </c>
      <c r="F385" t="s">
        <v>150</v>
      </c>
      <c r="G385" t="s">
        <v>30</v>
      </c>
      <c r="H385" t="s">
        <v>103</v>
      </c>
      <c r="I385">
        <v>3</v>
      </c>
      <c r="J385">
        <v>4500</v>
      </c>
      <c r="K385">
        <v>0.05</v>
      </c>
      <c r="L385" t="s">
        <v>32</v>
      </c>
      <c r="M385" t="s">
        <v>91</v>
      </c>
      <c r="N385">
        <v>13500</v>
      </c>
      <c r="O385">
        <v>675</v>
      </c>
      <c r="P385">
        <v>12825</v>
      </c>
      <c r="Q385">
        <f t="shared" si="15"/>
        <v>2025</v>
      </c>
      <c r="R385">
        <f t="shared" si="16"/>
        <v>10</v>
      </c>
      <c r="S385" t="str">
        <f t="shared" si="17"/>
        <v>October</v>
      </c>
    </row>
    <row r="386" spans="1:19">
      <c r="A386" t="s">
        <v>581</v>
      </c>
      <c r="B386" s="2">
        <v>45941</v>
      </c>
      <c r="C386" t="s">
        <v>264</v>
      </c>
      <c r="D386" t="s">
        <v>18</v>
      </c>
      <c r="E386" t="s">
        <v>55</v>
      </c>
      <c r="F386" t="s">
        <v>56</v>
      </c>
      <c r="G386" t="s">
        <v>57</v>
      </c>
      <c r="H386" t="s">
        <v>142</v>
      </c>
      <c r="I386">
        <v>5</v>
      </c>
      <c r="J386">
        <v>12000</v>
      </c>
      <c r="K386">
        <v>0</v>
      </c>
      <c r="L386" t="s">
        <v>32</v>
      </c>
      <c r="M386" t="s">
        <v>91</v>
      </c>
      <c r="N386">
        <v>60000</v>
      </c>
      <c r="O386">
        <v>0</v>
      </c>
      <c r="P386">
        <v>60000</v>
      </c>
      <c r="Q386">
        <f t="shared" si="15"/>
        <v>2025</v>
      </c>
      <c r="R386">
        <f t="shared" si="16"/>
        <v>10</v>
      </c>
      <c r="S386" t="str">
        <f t="shared" si="17"/>
        <v>October</v>
      </c>
    </row>
    <row r="387" spans="1:19">
      <c r="A387" t="s">
        <v>582</v>
      </c>
      <c r="B387" s="2">
        <v>45941</v>
      </c>
      <c r="C387" t="s">
        <v>388</v>
      </c>
      <c r="D387" t="s">
        <v>27</v>
      </c>
      <c r="E387" t="s">
        <v>28</v>
      </c>
      <c r="F387" t="s">
        <v>130</v>
      </c>
      <c r="G387" t="s">
        <v>71</v>
      </c>
      <c r="H387" t="s">
        <v>128</v>
      </c>
      <c r="I387">
        <v>5</v>
      </c>
      <c r="J387">
        <v>2200</v>
      </c>
      <c r="K387">
        <v>0.05</v>
      </c>
      <c r="L387" t="s">
        <v>32</v>
      </c>
      <c r="M387" t="s">
        <v>51</v>
      </c>
      <c r="N387">
        <v>11000</v>
      </c>
      <c r="O387">
        <v>550</v>
      </c>
      <c r="P387">
        <v>10450</v>
      </c>
      <c r="Q387">
        <f t="shared" ref="Q387:Q450" si="18">YEAR(B387)</f>
        <v>2025</v>
      </c>
      <c r="R387">
        <f t="shared" ref="R387:R450" si="19">MONTH(B387)</f>
        <v>10</v>
      </c>
      <c r="S387" t="str">
        <f t="shared" ref="S387:S450" si="20">TEXT(B387,"mmmm")</f>
        <v>October</v>
      </c>
    </row>
    <row r="388" spans="1:19">
      <c r="A388" t="s">
        <v>583</v>
      </c>
      <c r="B388" s="2">
        <v>45942</v>
      </c>
      <c r="C388" t="s">
        <v>119</v>
      </c>
      <c r="D388" t="s">
        <v>81</v>
      </c>
      <c r="E388" t="s">
        <v>37</v>
      </c>
      <c r="F388" t="s">
        <v>196</v>
      </c>
      <c r="G388" t="s">
        <v>57</v>
      </c>
      <c r="H388" t="s">
        <v>142</v>
      </c>
      <c r="I388">
        <v>4</v>
      </c>
      <c r="J388">
        <v>2500</v>
      </c>
      <c r="K388">
        <v>0.1</v>
      </c>
      <c r="L388" t="s">
        <v>32</v>
      </c>
      <c r="M388" t="s">
        <v>45</v>
      </c>
      <c r="N388">
        <v>10000</v>
      </c>
      <c r="O388">
        <v>1000</v>
      </c>
      <c r="P388">
        <v>9000</v>
      </c>
      <c r="Q388">
        <f t="shared" si="18"/>
        <v>2025</v>
      </c>
      <c r="R388">
        <f t="shared" si="19"/>
        <v>10</v>
      </c>
      <c r="S388" t="str">
        <f t="shared" si="20"/>
        <v>October</v>
      </c>
    </row>
    <row r="389" spans="1:19">
      <c r="A389" t="s">
        <v>584</v>
      </c>
      <c r="B389" s="2">
        <v>45943</v>
      </c>
      <c r="C389" t="s">
        <v>132</v>
      </c>
      <c r="D389" t="s">
        <v>74</v>
      </c>
      <c r="E389" t="s">
        <v>62</v>
      </c>
      <c r="F389" t="s">
        <v>94</v>
      </c>
      <c r="G389" t="s">
        <v>21</v>
      </c>
      <c r="H389" t="s">
        <v>22</v>
      </c>
      <c r="I389">
        <v>4</v>
      </c>
      <c r="J389">
        <v>120</v>
      </c>
      <c r="K389">
        <v>0</v>
      </c>
      <c r="L389" t="s">
        <v>44</v>
      </c>
      <c r="M389" t="s">
        <v>24</v>
      </c>
      <c r="N389">
        <v>480</v>
      </c>
      <c r="O389">
        <v>0</v>
      </c>
      <c r="P389">
        <v>480</v>
      </c>
      <c r="Q389">
        <f t="shared" si="18"/>
        <v>2025</v>
      </c>
      <c r="R389">
        <f t="shared" si="19"/>
        <v>10</v>
      </c>
      <c r="S389" t="str">
        <f t="shared" si="20"/>
        <v>October</v>
      </c>
    </row>
    <row r="390" spans="1:19">
      <c r="A390" t="s">
        <v>585</v>
      </c>
      <c r="B390" s="2">
        <v>45944</v>
      </c>
      <c r="C390" t="s">
        <v>341</v>
      </c>
      <c r="D390" t="s">
        <v>42</v>
      </c>
      <c r="E390" t="s">
        <v>28</v>
      </c>
      <c r="F390" t="s">
        <v>29</v>
      </c>
      <c r="G390" t="s">
        <v>21</v>
      </c>
      <c r="H390" t="s">
        <v>22</v>
      </c>
      <c r="I390">
        <v>5</v>
      </c>
      <c r="J390">
        <v>4000</v>
      </c>
      <c r="K390">
        <v>0</v>
      </c>
      <c r="L390" t="s">
        <v>50</v>
      </c>
      <c r="M390" t="s">
        <v>24</v>
      </c>
      <c r="N390">
        <v>20000</v>
      </c>
      <c r="O390">
        <v>0</v>
      </c>
      <c r="P390">
        <v>20000</v>
      </c>
      <c r="Q390">
        <f t="shared" si="18"/>
        <v>2025</v>
      </c>
      <c r="R390">
        <f t="shared" si="19"/>
        <v>10</v>
      </c>
      <c r="S390" t="str">
        <f t="shared" si="20"/>
        <v>October</v>
      </c>
    </row>
    <row r="391" spans="1:19">
      <c r="A391" t="s">
        <v>586</v>
      </c>
      <c r="B391" s="2">
        <v>45944</v>
      </c>
      <c r="C391" t="s">
        <v>336</v>
      </c>
      <c r="D391" t="s">
        <v>135</v>
      </c>
      <c r="E391" t="s">
        <v>55</v>
      </c>
      <c r="F391" t="s">
        <v>145</v>
      </c>
      <c r="G391" t="s">
        <v>57</v>
      </c>
      <c r="H391" t="s">
        <v>142</v>
      </c>
      <c r="I391">
        <v>5</v>
      </c>
      <c r="J391">
        <v>1800</v>
      </c>
      <c r="K391">
        <v>0</v>
      </c>
      <c r="L391" t="s">
        <v>44</v>
      </c>
      <c r="M391" t="s">
        <v>51</v>
      </c>
      <c r="N391">
        <v>9000</v>
      </c>
      <c r="O391">
        <v>0</v>
      </c>
      <c r="P391">
        <v>9000</v>
      </c>
      <c r="Q391">
        <f t="shared" si="18"/>
        <v>2025</v>
      </c>
      <c r="R391">
        <f t="shared" si="19"/>
        <v>10</v>
      </c>
      <c r="S391" t="str">
        <f t="shared" si="20"/>
        <v>October</v>
      </c>
    </row>
    <row r="392" spans="1:19">
      <c r="A392" t="s">
        <v>587</v>
      </c>
      <c r="B392" s="2">
        <v>45944</v>
      </c>
      <c r="C392" t="s">
        <v>208</v>
      </c>
      <c r="D392" t="s">
        <v>74</v>
      </c>
      <c r="E392" t="s">
        <v>55</v>
      </c>
      <c r="F392" t="s">
        <v>145</v>
      </c>
      <c r="G392" t="s">
        <v>57</v>
      </c>
      <c r="H392" t="s">
        <v>58</v>
      </c>
      <c r="I392">
        <v>1</v>
      </c>
      <c r="J392">
        <v>1800</v>
      </c>
      <c r="K392">
        <v>0</v>
      </c>
      <c r="L392" t="s">
        <v>50</v>
      </c>
      <c r="M392" t="s">
        <v>107</v>
      </c>
      <c r="N392">
        <v>1800</v>
      </c>
      <c r="O392">
        <v>0</v>
      </c>
      <c r="P392">
        <v>1800</v>
      </c>
      <c r="Q392">
        <f t="shared" si="18"/>
        <v>2025</v>
      </c>
      <c r="R392">
        <f t="shared" si="19"/>
        <v>10</v>
      </c>
      <c r="S392" t="str">
        <f t="shared" si="20"/>
        <v>October</v>
      </c>
    </row>
    <row r="393" spans="1:19">
      <c r="A393" t="s">
        <v>588</v>
      </c>
      <c r="B393" s="2">
        <v>45944</v>
      </c>
      <c r="C393" t="s">
        <v>313</v>
      </c>
      <c r="D393" t="s">
        <v>127</v>
      </c>
      <c r="E393" t="s">
        <v>19</v>
      </c>
      <c r="F393" t="s">
        <v>48</v>
      </c>
      <c r="G393" t="s">
        <v>57</v>
      </c>
      <c r="H393" t="s">
        <v>58</v>
      </c>
      <c r="I393">
        <v>5</v>
      </c>
      <c r="J393">
        <v>7500</v>
      </c>
      <c r="K393">
        <v>0</v>
      </c>
      <c r="L393" t="s">
        <v>44</v>
      </c>
      <c r="M393" t="s">
        <v>24</v>
      </c>
      <c r="N393">
        <v>37500</v>
      </c>
      <c r="O393">
        <v>0</v>
      </c>
      <c r="P393">
        <v>37500</v>
      </c>
      <c r="Q393">
        <f t="shared" si="18"/>
        <v>2025</v>
      </c>
      <c r="R393">
        <f t="shared" si="19"/>
        <v>10</v>
      </c>
      <c r="S393" t="str">
        <f t="shared" si="20"/>
        <v>October</v>
      </c>
    </row>
    <row r="394" spans="1:19">
      <c r="A394" t="s">
        <v>589</v>
      </c>
      <c r="B394" s="2">
        <v>45945</v>
      </c>
      <c r="C394" t="s">
        <v>179</v>
      </c>
      <c r="D394" t="s">
        <v>18</v>
      </c>
      <c r="E394" t="s">
        <v>37</v>
      </c>
      <c r="F394" t="s">
        <v>38</v>
      </c>
      <c r="G394" t="s">
        <v>71</v>
      </c>
      <c r="H394" t="s">
        <v>72</v>
      </c>
      <c r="I394">
        <v>5</v>
      </c>
      <c r="J394">
        <v>55000</v>
      </c>
      <c r="K394">
        <v>0.05</v>
      </c>
      <c r="L394" t="s">
        <v>50</v>
      </c>
      <c r="M394" t="s">
        <v>24</v>
      </c>
      <c r="N394">
        <v>275000</v>
      </c>
      <c r="O394">
        <v>13750</v>
      </c>
      <c r="P394">
        <v>261250</v>
      </c>
      <c r="Q394">
        <f t="shared" si="18"/>
        <v>2025</v>
      </c>
      <c r="R394">
        <f t="shared" si="19"/>
        <v>10</v>
      </c>
      <c r="S394" t="str">
        <f t="shared" si="20"/>
        <v>October</v>
      </c>
    </row>
    <row r="395" spans="1:19">
      <c r="A395" t="s">
        <v>590</v>
      </c>
      <c r="B395" s="2">
        <v>45945</v>
      </c>
      <c r="C395" t="s">
        <v>122</v>
      </c>
      <c r="D395" t="s">
        <v>135</v>
      </c>
      <c r="E395" t="s">
        <v>62</v>
      </c>
      <c r="F395" t="s">
        <v>94</v>
      </c>
      <c r="G395" t="s">
        <v>21</v>
      </c>
      <c r="H395" t="s">
        <v>185</v>
      </c>
      <c r="I395">
        <v>1</v>
      </c>
      <c r="J395">
        <v>120</v>
      </c>
      <c r="K395">
        <v>0.1</v>
      </c>
      <c r="L395" t="s">
        <v>50</v>
      </c>
      <c r="M395" t="s">
        <v>91</v>
      </c>
      <c r="N395">
        <v>120</v>
      </c>
      <c r="O395">
        <v>12</v>
      </c>
      <c r="P395">
        <v>108</v>
      </c>
      <c r="Q395">
        <f t="shared" si="18"/>
        <v>2025</v>
      </c>
      <c r="R395">
        <f t="shared" si="19"/>
        <v>10</v>
      </c>
      <c r="S395" t="str">
        <f t="shared" si="20"/>
        <v>October</v>
      </c>
    </row>
    <row r="396" spans="1:19">
      <c r="A396" t="s">
        <v>591</v>
      </c>
      <c r="B396" s="2">
        <v>45946</v>
      </c>
      <c r="C396" t="s">
        <v>53</v>
      </c>
      <c r="D396" t="s">
        <v>102</v>
      </c>
      <c r="E396" t="s">
        <v>37</v>
      </c>
      <c r="F396" t="s">
        <v>196</v>
      </c>
      <c r="G396" t="s">
        <v>57</v>
      </c>
      <c r="H396" t="s">
        <v>97</v>
      </c>
      <c r="I396">
        <v>5</v>
      </c>
      <c r="J396">
        <v>2500</v>
      </c>
      <c r="K396">
        <v>0</v>
      </c>
      <c r="L396" t="s">
        <v>23</v>
      </c>
      <c r="M396" t="s">
        <v>107</v>
      </c>
      <c r="N396">
        <v>12500</v>
      </c>
      <c r="O396">
        <v>0</v>
      </c>
      <c r="P396">
        <v>12500</v>
      </c>
      <c r="Q396">
        <f t="shared" si="18"/>
        <v>2025</v>
      </c>
      <c r="R396">
        <f t="shared" si="19"/>
        <v>10</v>
      </c>
      <c r="S396" t="str">
        <f t="shared" si="20"/>
        <v>October</v>
      </c>
    </row>
    <row r="397" spans="1:19">
      <c r="A397" t="s">
        <v>592</v>
      </c>
      <c r="B397" s="2">
        <v>45946</v>
      </c>
      <c r="C397" t="s">
        <v>315</v>
      </c>
      <c r="D397" t="s">
        <v>69</v>
      </c>
      <c r="E397" t="s">
        <v>62</v>
      </c>
      <c r="F397" t="s">
        <v>78</v>
      </c>
      <c r="G397" t="s">
        <v>30</v>
      </c>
      <c r="H397" t="s">
        <v>31</v>
      </c>
      <c r="I397">
        <v>1</v>
      </c>
      <c r="J397">
        <v>250</v>
      </c>
      <c r="K397">
        <v>0.05</v>
      </c>
      <c r="L397" t="s">
        <v>32</v>
      </c>
      <c r="M397" t="s">
        <v>24</v>
      </c>
      <c r="N397">
        <v>250</v>
      </c>
      <c r="O397">
        <v>12.5</v>
      </c>
      <c r="P397">
        <v>237.5</v>
      </c>
      <c r="Q397">
        <f t="shared" si="18"/>
        <v>2025</v>
      </c>
      <c r="R397">
        <f t="shared" si="19"/>
        <v>10</v>
      </c>
      <c r="S397" t="str">
        <f t="shared" si="20"/>
        <v>October</v>
      </c>
    </row>
    <row r="398" spans="1:19">
      <c r="A398" t="s">
        <v>593</v>
      </c>
      <c r="B398" s="2">
        <v>45946</v>
      </c>
      <c r="C398" t="s">
        <v>292</v>
      </c>
      <c r="D398" t="s">
        <v>120</v>
      </c>
      <c r="E398" t="s">
        <v>62</v>
      </c>
      <c r="F398" t="s">
        <v>63</v>
      </c>
      <c r="G398" t="s">
        <v>21</v>
      </c>
      <c r="H398" t="s">
        <v>83</v>
      </c>
      <c r="I398">
        <v>1</v>
      </c>
      <c r="J398">
        <v>180</v>
      </c>
      <c r="K398">
        <v>0.1</v>
      </c>
      <c r="L398" t="s">
        <v>50</v>
      </c>
      <c r="M398" t="s">
        <v>39</v>
      </c>
      <c r="N398">
        <v>180</v>
      </c>
      <c r="O398">
        <v>18</v>
      </c>
      <c r="P398">
        <v>162</v>
      </c>
      <c r="Q398">
        <f t="shared" si="18"/>
        <v>2025</v>
      </c>
      <c r="R398">
        <f t="shared" si="19"/>
        <v>10</v>
      </c>
      <c r="S398" t="str">
        <f t="shared" si="20"/>
        <v>October</v>
      </c>
    </row>
    <row r="399" spans="1:19">
      <c r="A399" t="s">
        <v>594</v>
      </c>
      <c r="B399" s="2">
        <v>45947</v>
      </c>
      <c r="C399" t="s">
        <v>297</v>
      </c>
      <c r="D399" t="s">
        <v>135</v>
      </c>
      <c r="E399" t="s">
        <v>37</v>
      </c>
      <c r="F399" t="s">
        <v>43</v>
      </c>
      <c r="G399" t="s">
        <v>21</v>
      </c>
      <c r="H399" t="s">
        <v>181</v>
      </c>
      <c r="I399">
        <v>4</v>
      </c>
      <c r="J399">
        <v>1800</v>
      </c>
      <c r="K399">
        <v>0.05</v>
      </c>
      <c r="L399" t="s">
        <v>32</v>
      </c>
      <c r="M399" t="s">
        <v>107</v>
      </c>
      <c r="N399">
        <v>7200</v>
      </c>
      <c r="O399">
        <v>360</v>
      </c>
      <c r="P399">
        <v>6840</v>
      </c>
      <c r="Q399">
        <f t="shared" si="18"/>
        <v>2025</v>
      </c>
      <c r="R399">
        <f t="shared" si="19"/>
        <v>10</v>
      </c>
      <c r="S399" t="str">
        <f t="shared" si="20"/>
        <v>October</v>
      </c>
    </row>
    <row r="400" spans="1:19">
      <c r="A400" t="s">
        <v>595</v>
      </c>
      <c r="B400" s="2">
        <v>45947</v>
      </c>
      <c r="C400" t="s">
        <v>65</v>
      </c>
      <c r="D400" t="s">
        <v>81</v>
      </c>
      <c r="E400" t="s">
        <v>55</v>
      </c>
      <c r="F400" t="s">
        <v>213</v>
      </c>
      <c r="G400" t="s">
        <v>30</v>
      </c>
      <c r="H400" t="s">
        <v>125</v>
      </c>
      <c r="I400">
        <v>2</v>
      </c>
      <c r="J400">
        <v>8500</v>
      </c>
      <c r="K400">
        <v>0.05</v>
      </c>
      <c r="L400" t="s">
        <v>50</v>
      </c>
      <c r="M400" t="s">
        <v>45</v>
      </c>
      <c r="N400">
        <v>17000</v>
      </c>
      <c r="O400">
        <v>850</v>
      </c>
      <c r="P400">
        <v>16150</v>
      </c>
      <c r="Q400">
        <f t="shared" si="18"/>
        <v>2025</v>
      </c>
      <c r="R400">
        <f t="shared" si="19"/>
        <v>10</v>
      </c>
      <c r="S400" t="str">
        <f t="shared" si="20"/>
        <v>October</v>
      </c>
    </row>
    <row r="401" spans="1:19">
      <c r="A401" t="s">
        <v>596</v>
      </c>
      <c r="B401" s="2">
        <v>45950</v>
      </c>
      <c r="C401" t="s">
        <v>144</v>
      </c>
      <c r="D401" t="s">
        <v>61</v>
      </c>
      <c r="E401" t="s">
        <v>37</v>
      </c>
      <c r="F401" t="s">
        <v>38</v>
      </c>
      <c r="G401" t="s">
        <v>21</v>
      </c>
      <c r="H401" t="s">
        <v>22</v>
      </c>
      <c r="I401">
        <v>4</v>
      </c>
      <c r="J401">
        <v>55000</v>
      </c>
      <c r="K401">
        <v>0.15</v>
      </c>
      <c r="L401" t="s">
        <v>50</v>
      </c>
      <c r="M401" t="s">
        <v>51</v>
      </c>
      <c r="N401">
        <v>220000</v>
      </c>
      <c r="O401">
        <v>33000</v>
      </c>
      <c r="P401">
        <v>187000</v>
      </c>
      <c r="Q401">
        <f t="shared" si="18"/>
        <v>2025</v>
      </c>
      <c r="R401">
        <f t="shared" si="19"/>
        <v>10</v>
      </c>
      <c r="S401" t="str">
        <f t="shared" si="20"/>
        <v>October</v>
      </c>
    </row>
    <row r="402" spans="1:19">
      <c r="A402" t="s">
        <v>597</v>
      </c>
      <c r="B402" s="2">
        <v>45950</v>
      </c>
      <c r="C402" t="s">
        <v>177</v>
      </c>
      <c r="D402" t="s">
        <v>106</v>
      </c>
      <c r="E402" t="s">
        <v>19</v>
      </c>
      <c r="F402" t="s">
        <v>70</v>
      </c>
      <c r="G402" t="s">
        <v>71</v>
      </c>
      <c r="H402" t="s">
        <v>128</v>
      </c>
      <c r="I402">
        <v>5</v>
      </c>
      <c r="J402">
        <v>6500</v>
      </c>
      <c r="K402">
        <v>0.1</v>
      </c>
      <c r="L402" t="s">
        <v>44</v>
      </c>
      <c r="M402" t="s">
        <v>51</v>
      </c>
      <c r="N402">
        <v>32500</v>
      </c>
      <c r="O402">
        <v>3250</v>
      </c>
      <c r="P402">
        <v>29250</v>
      </c>
      <c r="Q402">
        <f t="shared" si="18"/>
        <v>2025</v>
      </c>
      <c r="R402">
        <f t="shared" si="19"/>
        <v>10</v>
      </c>
      <c r="S402" t="str">
        <f t="shared" si="20"/>
        <v>October</v>
      </c>
    </row>
    <row r="403" spans="1:19">
      <c r="A403" t="s">
        <v>598</v>
      </c>
      <c r="B403" s="2">
        <v>45951</v>
      </c>
      <c r="C403" t="s">
        <v>114</v>
      </c>
      <c r="D403" t="s">
        <v>42</v>
      </c>
      <c r="E403" t="s">
        <v>62</v>
      </c>
      <c r="F403" t="s">
        <v>169</v>
      </c>
      <c r="G403" t="s">
        <v>30</v>
      </c>
      <c r="H403" t="s">
        <v>125</v>
      </c>
      <c r="I403">
        <v>4</v>
      </c>
      <c r="J403">
        <v>1200</v>
      </c>
      <c r="K403">
        <v>0</v>
      </c>
      <c r="L403" t="s">
        <v>50</v>
      </c>
      <c r="M403" t="s">
        <v>39</v>
      </c>
      <c r="N403">
        <v>4800</v>
      </c>
      <c r="O403">
        <v>0</v>
      </c>
      <c r="P403">
        <v>4800</v>
      </c>
      <c r="Q403">
        <f t="shared" si="18"/>
        <v>2025</v>
      </c>
      <c r="R403">
        <f t="shared" si="19"/>
        <v>10</v>
      </c>
      <c r="S403" t="str">
        <f t="shared" si="20"/>
        <v>October</v>
      </c>
    </row>
    <row r="404" spans="1:19">
      <c r="A404" t="s">
        <v>599</v>
      </c>
      <c r="B404" s="2">
        <v>45951</v>
      </c>
      <c r="C404" t="s">
        <v>192</v>
      </c>
      <c r="D404" t="s">
        <v>89</v>
      </c>
      <c r="E404" t="s">
        <v>62</v>
      </c>
      <c r="F404" t="s">
        <v>63</v>
      </c>
      <c r="G404" t="s">
        <v>71</v>
      </c>
      <c r="H404" t="s">
        <v>99</v>
      </c>
      <c r="I404">
        <v>1</v>
      </c>
      <c r="J404">
        <v>180</v>
      </c>
      <c r="K404">
        <v>0.1</v>
      </c>
      <c r="L404" t="s">
        <v>44</v>
      </c>
      <c r="M404" t="s">
        <v>51</v>
      </c>
      <c r="N404">
        <v>180</v>
      </c>
      <c r="O404">
        <v>18</v>
      </c>
      <c r="P404">
        <v>162</v>
      </c>
      <c r="Q404">
        <f t="shared" si="18"/>
        <v>2025</v>
      </c>
      <c r="R404">
        <f t="shared" si="19"/>
        <v>10</v>
      </c>
      <c r="S404" t="str">
        <f t="shared" si="20"/>
        <v>October</v>
      </c>
    </row>
    <row r="405" spans="1:19">
      <c r="A405" t="s">
        <v>600</v>
      </c>
      <c r="B405" s="2">
        <v>45951</v>
      </c>
      <c r="C405" t="s">
        <v>391</v>
      </c>
      <c r="D405" t="s">
        <v>120</v>
      </c>
      <c r="E405" t="s">
        <v>62</v>
      </c>
      <c r="F405" t="s">
        <v>169</v>
      </c>
      <c r="G405" t="s">
        <v>71</v>
      </c>
      <c r="H405" t="s">
        <v>72</v>
      </c>
      <c r="I405">
        <v>5</v>
      </c>
      <c r="J405">
        <v>1200</v>
      </c>
      <c r="K405">
        <v>0.1</v>
      </c>
      <c r="L405" t="s">
        <v>50</v>
      </c>
      <c r="M405" t="s">
        <v>39</v>
      </c>
      <c r="N405">
        <v>6000</v>
      </c>
      <c r="O405">
        <v>600</v>
      </c>
      <c r="P405">
        <v>5400</v>
      </c>
      <c r="Q405">
        <f t="shared" si="18"/>
        <v>2025</v>
      </c>
      <c r="R405">
        <f t="shared" si="19"/>
        <v>10</v>
      </c>
      <c r="S405" t="str">
        <f t="shared" si="20"/>
        <v>October</v>
      </c>
    </row>
    <row r="406" spans="1:19">
      <c r="A406" t="s">
        <v>601</v>
      </c>
      <c r="B406" s="2">
        <v>45951</v>
      </c>
      <c r="C406" t="s">
        <v>419</v>
      </c>
      <c r="D406" t="s">
        <v>18</v>
      </c>
      <c r="E406" t="s">
        <v>19</v>
      </c>
      <c r="F406" t="s">
        <v>70</v>
      </c>
      <c r="G406" t="s">
        <v>30</v>
      </c>
      <c r="H406" t="s">
        <v>125</v>
      </c>
      <c r="I406">
        <v>3</v>
      </c>
      <c r="J406">
        <v>6500</v>
      </c>
      <c r="K406">
        <v>0.05</v>
      </c>
      <c r="L406" t="s">
        <v>23</v>
      </c>
      <c r="M406" t="s">
        <v>39</v>
      </c>
      <c r="N406">
        <v>19500</v>
      </c>
      <c r="O406">
        <v>975</v>
      </c>
      <c r="P406">
        <v>18525</v>
      </c>
      <c r="Q406">
        <f t="shared" si="18"/>
        <v>2025</v>
      </c>
      <c r="R406">
        <f t="shared" si="19"/>
        <v>10</v>
      </c>
      <c r="S406" t="str">
        <f t="shared" si="20"/>
        <v>October</v>
      </c>
    </row>
    <row r="407" spans="1:19">
      <c r="A407" t="s">
        <v>602</v>
      </c>
      <c r="B407" s="2">
        <v>45951</v>
      </c>
      <c r="C407" t="s">
        <v>175</v>
      </c>
      <c r="D407" t="s">
        <v>27</v>
      </c>
      <c r="E407" t="s">
        <v>19</v>
      </c>
      <c r="F407" t="s">
        <v>139</v>
      </c>
      <c r="G407" t="s">
        <v>57</v>
      </c>
      <c r="H407" t="s">
        <v>75</v>
      </c>
      <c r="I407">
        <v>2</v>
      </c>
      <c r="J407">
        <v>6000</v>
      </c>
      <c r="K407">
        <v>0.1</v>
      </c>
      <c r="L407" t="s">
        <v>23</v>
      </c>
      <c r="M407" t="s">
        <v>91</v>
      </c>
      <c r="N407">
        <v>12000</v>
      </c>
      <c r="O407">
        <v>1200</v>
      </c>
      <c r="P407">
        <v>10800</v>
      </c>
      <c r="Q407">
        <f t="shared" si="18"/>
        <v>2025</v>
      </c>
      <c r="R407">
        <f t="shared" si="19"/>
        <v>10</v>
      </c>
      <c r="S407" t="str">
        <f t="shared" si="20"/>
        <v>October</v>
      </c>
    </row>
    <row r="408" spans="1:19">
      <c r="A408" t="s">
        <v>603</v>
      </c>
      <c r="B408" s="2">
        <v>45951</v>
      </c>
      <c r="C408" t="s">
        <v>448</v>
      </c>
      <c r="D408" t="s">
        <v>69</v>
      </c>
      <c r="E408" t="s">
        <v>19</v>
      </c>
      <c r="F408" t="s">
        <v>124</v>
      </c>
      <c r="G408" t="s">
        <v>21</v>
      </c>
      <c r="H408" t="s">
        <v>181</v>
      </c>
      <c r="I408">
        <v>4</v>
      </c>
      <c r="J408">
        <v>7000</v>
      </c>
      <c r="K408">
        <v>0</v>
      </c>
      <c r="L408" t="s">
        <v>23</v>
      </c>
      <c r="M408" t="s">
        <v>107</v>
      </c>
      <c r="N408">
        <v>28000</v>
      </c>
      <c r="O408">
        <v>0</v>
      </c>
      <c r="P408">
        <v>28000</v>
      </c>
      <c r="Q408">
        <f t="shared" si="18"/>
        <v>2025</v>
      </c>
      <c r="R408">
        <f t="shared" si="19"/>
        <v>10</v>
      </c>
      <c r="S408" t="str">
        <f t="shared" si="20"/>
        <v>October</v>
      </c>
    </row>
    <row r="409" spans="1:19">
      <c r="A409" t="s">
        <v>604</v>
      </c>
      <c r="B409" s="2">
        <v>45952</v>
      </c>
      <c r="C409" t="s">
        <v>262</v>
      </c>
      <c r="D409" t="s">
        <v>36</v>
      </c>
      <c r="E409" t="s">
        <v>28</v>
      </c>
      <c r="F409" t="s">
        <v>233</v>
      </c>
      <c r="G409" t="s">
        <v>21</v>
      </c>
      <c r="H409" t="s">
        <v>181</v>
      </c>
      <c r="I409">
        <v>5</v>
      </c>
      <c r="J409">
        <v>2800</v>
      </c>
      <c r="K409">
        <v>0</v>
      </c>
      <c r="L409" t="s">
        <v>50</v>
      </c>
      <c r="M409" t="s">
        <v>33</v>
      </c>
      <c r="N409">
        <v>14000</v>
      </c>
      <c r="O409">
        <v>0</v>
      </c>
      <c r="P409">
        <v>14000</v>
      </c>
      <c r="Q409">
        <f t="shared" si="18"/>
        <v>2025</v>
      </c>
      <c r="R409">
        <f t="shared" si="19"/>
        <v>10</v>
      </c>
      <c r="S409" t="str">
        <f t="shared" si="20"/>
        <v>October</v>
      </c>
    </row>
    <row r="410" spans="1:19">
      <c r="A410" t="s">
        <v>605</v>
      </c>
      <c r="B410" s="2">
        <v>45953</v>
      </c>
      <c r="C410" t="s">
        <v>275</v>
      </c>
      <c r="D410" t="s">
        <v>36</v>
      </c>
      <c r="E410" t="s">
        <v>55</v>
      </c>
      <c r="F410" t="s">
        <v>213</v>
      </c>
      <c r="G410" t="s">
        <v>21</v>
      </c>
      <c r="H410" t="s">
        <v>83</v>
      </c>
      <c r="I410">
        <v>4</v>
      </c>
      <c r="J410">
        <v>8500</v>
      </c>
      <c r="K410">
        <v>0</v>
      </c>
      <c r="L410" t="s">
        <v>23</v>
      </c>
      <c r="M410" t="s">
        <v>51</v>
      </c>
      <c r="N410">
        <v>34000</v>
      </c>
      <c r="O410">
        <v>0</v>
      </c>
      <c r="P410">
        <v>34000</v>
      </c>
      <c r="Q410">
        <f t="shared" si="18"/>
        <v>2025</v>
      </c>
      <c r="R410">
        <f t="shared" si="19"/>
        <v>10</v>
      </c>
      <c r="S410" t="str">
        <f t="shared" si="20"/>
        <v>October</v>
      </c>
    </row>
    <row r="411" spans="1:19">
      <c r="A411" t="s">
        <v>606</v>
      </c>
      <c r="B411" s="2">
        <v>45953</v>
      </c>
      <c r="C411" t="s">
        <v>360</v>
      </c>
      <c r="D411" t="s">
        <v>153</v>
      </c>
      <c r="E411" t="s">
        <v>55</v>
      </c>
      <c r="F411" t="s">
        <v>150</v>
      </c>
      <c r="G411" t="s">
        <v>71</v>
      </c>
      <c r="H411" t="s">
        <v>99</v>
      </c>
      <c r="I411">
        <v>3</v>
      </c>
      <c r="J411">
        <v>4500</v>
      </c>
      <c r="K411">
        <v>0.05</v>
      </c>
      <c r="L411" t="s">
        <v>50</v>
      </c>
      <c r="M411" t="s">
        <v>51</v>
      </c>
      <c r="N411">
        <v>13500</v>
      </c>
      <c r="O411">
        <v>675</v>
      </c>
      <c r="P411">
        <v>12825</v>
      </c>
      <c r="Q411">
        <f t="shared" si="18"/>
        <v>2025</v>
      </c>
      <c r="R411">
        <f t="shared" si="19"/>
        <v>10</v>
      </c>
      <c r="S411" t="str">
        <f t="shared" si="20"/>
        <v>October</v>
      </c>
    </row>
    <row r="412" spans="1:19">
      <c r="A412" t="s">
        <v>607</v>
      </c>
      <c r="B412" s="2">
        <v>45955</v>
      </c>
      <c r="C412" t="s">
        <v>109</v>
      </c>
      <c r="D412" t="s">
        <v>54</v>
      </c>
      <c r="E412" t="s">
        <v>62</v>
      </c>
      <c r="F412" t="s">
        <v>94</v>
      </c>
      <c r="G412" t="s">
        <v>71</v>
      </c>
      <c r="H412" t="s">
        <v>99</v>
      </c>
      <c r="I412">
        <v>1</v>
      </c>
      <c r="J412">
        <v>120</v>
      </c>
      <c r="K412">
        <v>0.05</v>
      </c>
      <c r="L412" t="s">
        <v>23</v>
      </c>
      <c r="M412" t="s">
        <v>51</v>
      </c>
      <c r="N412">
        <v>120</v>
      </c>
      <c r="O412">
        <v>6</v>
      </c>
      <c r="P412">
        <v>114</v>
      </c>
      <c r="Q412">
        <f t="shared" si="18"/>
        <v>2025</v>
      </c>
      <c r="R412">
        <f t="shared" si="19"/>
        <v>10</v>
      </c>
      <c r="S412" t="str">
        <f t="shared" si="20"/>
        <v>October</v>
      </c>
    </row>
    <row r="413" spans="1:19">
      <c r="A413" t="s">
        <v>608</v>
      </c>
      <c r="B413" s="2">
        <v>45957</v>
      </c>
      <c r="C413" t="s">
        <v>203</v>
      </c>
      <c r="D413" t="s">
        <v>86</v>
      </c>
      <c r="E413" t="s">
        <v>55</v>
      </c>
      <c r="F413" t="s">
        <v>150</v>
      </c>
      <c r="G413" t="s">
        <v>21</v>
      </c>
      <c r="H413" t="s">
        <v>181</v>
      </c>
      <c r="I413">
        <v>2</v>
      </c>
      <c r="J413">
        <v>4500</v>
      </c>
      <c r="K413">
        <v>0.05</v>
      </c>
      <c r="L413" t="s">
        <v>50</v>
      </c>
      <c r="M413" t="s">
        <v>39</v>
      </c>
      <c r="N413">
        <v>9000</v>
      </c>
      <c r="O413">
        <v>450</v>
      </c>
      <c r="P413">
        <v>8550</v>
      </c>
      <c r="Q413">
        <f t="shared" si="18"/>
        <v>2025</v>
      </c>
      <c r="R413">
        <f t="shared" si="19"/>
        <v>10</v>
      </c>
      <c r="S413" t="str">
        <f t="shared" si="20"/>
        <v>October</v>
      </c>
    </row>
    <row r="414" spans="1:19">
      <c r="A414" t="s">
        <v>609</v>
      </c>
      <c r="B414" s="2">
        <v>45959</v>
      </c>
      <c r="C414" t="s">
        <v>372</v>
      </c>
      <c r="D414" t="s">
        <v>81</v>
      </c>
      <c r="E414" t="s">
        <v>19</v>
      </c>
      <c r="F414" t="s">
        <v>20</v>
      </c>
      <c r="G414" t="s">
        <v>57</v>
      </c>
      <c r="H414" t="s">
        <v>97</v>
      </c>
      <c r="I414">
        <v>1</v>
      </c>
      <c r="J414">
        <v>9000</v>
      </c>
      <c r="K414">
        <v>0.05</v>
      </c>
      <c r="L414" t="s">
        <v>32</v>
      </c>
      <c r="M414" t="s">
        <v>39</v>
      </c>
      <c r="N414">
        <v>9000</v>
      </c>
      <c r="O414">
        <v>450</v>
      </c>
      <c r="P414">
        <v>8550</v>
      </c>
      <c r="Q414">
        <f t="shared" si="18"/>
        <v>2025</v>
      </c>
      <c r="R414">
        <f t="shared" si="19"/>
        <v>10</v>
      </c>
      <c r="S414" t="str">
        <f t="shared" si="20"/>
        <v>October</v>
      </c>
    </row>
    <row r="415" spans="1:19">
      <c r="A415" t="s">
        <v>610</v>
      </c>
      <c r="B415" s="2">
        <v>45960</v>
      </c>
      <c r="C415" t="s">
        <v>88</v>
      </c>
      <c r="D415" t="s">
        <v>74</v>
      </c>
      <c r="E415" t="s">
        <v>28</v>
      </c>
      <c r="F415" t="s">
        <v>66</v>
      </c>
      <c r="G415" t="s">
        <v>30</v>
      </c>
      <c r="H415" t="s">
        <v>125</v>
      </c>
      <c r="I415">
        <v>1</v>
      </c>
      <c r="J415">
        <v>900</v>
      </c>
      <c r="K415">
        <v>0.05</v>
      </c>
      <c r="L415" t="s">
        <v>44</v>
      </c>
      <c r="M415" t="s">
        <v>24</v>
      </c>
      <c r="N415">
        <v>900</v>
      </c>
      <c r="O415">
        <v>45</v>
      </c>
      <c r="P415">
        <v>855</v>
      </c>
      <c r="Q415">
        <f t="shared" si="18"/>
        <v>2025</v>
      </c>
      <c r="R415">
        <f t="shared" si="19"/>
        <v>10</v>
      </c>
      <c r="S415" t="str">
        <f t="shared" si="20"/>
        <v>October</v>
      </c>
    </row>
    <row r="416" spans="1:19">
      <c r="A416" t="s">
        <v>611</v>
      </c>
      <c r="B416" s="2">
        <v>45960</v>
      </c>
      <c r="C416" t="s">
        <v>60</v>
      </c>
      <c r="D416" t="s">
        <v>61</v>
      </c>
      <c r="E416" t="s">
        <v>37</v>
      </c>
      <c r="F416" t="s">
        <v>38</v>
      </c>
      <c r="G416" t="s">
        <v>57</v>
      </c>
      <c r="H416" t="s">
        <v>58</v>
      </c>
      <c r="I416">
        <v>4</v>
      </c>
      <c r="J416">
        <v>55000</v>
      </c>
      <c r="K416">
        <v>0.1</v>
      </c>
      <c r="L416" t="s">
        <v>50</v>
      </c>
      <c r="M416" t="s">
        <v>51</v>
      </c>
      <c r="N416">
        <v>220000</v>
      </c>
      <c r="O416">
        <v>22000</v>
      </c>
      <c r="P416">
        <v>198000</v>
      </c>
      <c r="Q416">
        <f t="shared" si="18"/>
        <v>2025</v>
      </c>
      <c r="R416">
        <f t="shared" si="19"/>
        <v>10</v>
      </c>
      <c r="S416" t="str">
        <f t="shared" si="20"/>
        <v>October</v>
      </c>
    </row>
    <row r="417" spans="1:19">
      <c r="A417" t="s">
        <v>612</v>
      </c>
      <c r="B417" s="2">
        <v>45961</v>
      </c>
      <c r="C417" t="s">
        <v>240</v>
      </c>
      <c r="D417" t="s">
        <v>153</v>
      </c>
      <c r="E417" t="s">
        <v>19</v>
      </c>
      <c r="F417" t="s">
        <v>70</v>
      </c>
      <c r="G417" t="s">
        <v>30</v>
      </c>
      <c r="H417" t="s">
        <v>125</v>
      </c>
      <c r="I417">
        <v>4</v>
      </c>
      <c r="J417">
        <v>6500</v>
      </c>
      <c r="K417">
        <v>0.1</v>
      </c>
      <c r="L417" t="s">
        <v>50</v>
      </c>
      <c r="M417" t="s">
        <v>24</v>
      </c>
      <c r="N417">
        <v>26000</v>
      </c>
      <c r="O417">
        <v>2600</v>
      </c>
      <c r="P417">
        <v>23400</v>
      </c>
      <c r="Q417">
        <f t="shared" si="18"/>
        <v>2025</v>
      </c>
      <c r="R417">
        <f t="shared" si="19"/>
        <v>10</v>
      </c>
      <c r="S417" t="str">
        <f t="shared" si="20"/>
        <v>October</v>
      </c>
    </row>
    <row r="418" spans="1:19">
      <c r="A418" t="s">
        <v>613</v>
      </c>
      <c r="B418" s="2">
        <v>45961</v>
      </c>
      <c r="C418" t="s">
        <v>272</v>
      </c>
      <c r="D418" t="s">
        <v>153</v>
      </c>
      <c r="E418" t="s">
        <v>28</v>
      </c>
      <c r="F418" t="s">
        <v>148</v>
      </c>
      <c r="G418" t="s">
        <v>30</v>
      </c>
      <c r="H418" t="s">
        <v>125</v>
      </c>
      <c r="I418">
        <v>5</v>
      </c>
      <c r="J418">
        <v>1800</v>
      </c>
      <c r="K418">
        <v>0.1</v>
      </c>
      <c r="L418" t="s">
        <v>23</v>
      </c>
      <c r="M418" t="s">
        <v>33</v>
      </c>
      <c r="N418">
        <v>9000</v>
      </c>
      <c r="O418">
        <v>900</v>
      </c>
      <c r="P418">
        <v>8100</v>
      </c>
      <c r="Q418">
        <f t="shared" si="18"/>
        <v>2025</v>
      </c>
      <c r="R418">
        <f t="shared" si="19"/>
        <v>10</v>
      </c>
      <c r="S418" t="str">
        <f t="shared" si="20"/>
        <v>October</v>
      </c>
    </row>
    <row r="419" spans="1:19">
      <c r="A419" t="s">
        <v>614</v>
      </c>
      <c r="B419" s="2">
        <v>45962</v>
      </c>
      <c r="C419" t="s">
        <v>160</v>
      </c>
      <c r="D419" t="s">
        <v>81</v>
      </c>
      <c r="E419" t="s">
        <v>37</v>
      </c>
      <c r="F419" t="s">
        <v>38</v>
      </c>
      <c r="G419" t="s">
        <v>30</v>
      </c>
      <c r="H419" t="s">
        <v>49</v>
      </c>
      <c r="I419">
        <v>4</v>
      </c>
      <c r="J419">
        <v>55000</v>
      </c>
      <c r="K419">
        <v>0.15</v>
      </c>
      <c r="L419" t="s">
        <v>32</v>
      </c>
      <c r="M419" t="s">
        <v>24</v>
      </c>
      <c r="N419">
        <v>220000</v>
      </c>
      <c r="O419">
        <v>33000</v>
      </c>
      <c r="P419">
        <v>187000</v>
      </c>
      <c r="Q419">
        <f t="shared" si="18"/>
        <v>2025</v>
      </c>
      <c r="R419">
        <f t="shared" si="19"/>
        <v>11</v>
      </c>
      <c r="S419" t="str">
        <f t="shared" si="20"/>
        <v>November</v>
      </c>
    </row>
    <row r="420" spans="1:19">
      <c r="A420" t="s">
        <v>615</v>
      </c>
      <c r="B420" s="2">
        <v>45964</v>
      </c>
      <c r="C420" t="s">
        <v>313</v>
      </c>
      <c r="D420" t="s">
        <v>102</v>
      </c>
      <c r="E420" t="s">
        <v>55</v>
      </c>
      <c r="F420" t="s">
        <v>150</v>
      </c>
      <c r="G420" t="s">
        <v>30</v>
      </c>
      <c r="H420" t="s">
        <v>125</v>
      </c>
      <c r="I420">
        <v>4</v>
      </c>
      <c r="J420">
        <v>4500</v>
      </c>
      <c r="K420">
        <v>0.15</v>
      </c>
      <c r="L420" t="s">
        <v>44</v>
      </c>
      <c r="M420" t="s">
        <v>45</v>
      </c>
      <c r="N420">
        <v>18000</v>
      </c>
      <c r="O420">
        <v>2700</v>
      </c>
      <c r="P420">
        <v>15300</v>
      </c>
      <c r="Q420">
        <f t="shared" si="18"/>
        <v>2025</v>
      </c>
      <c r="R420">
        <f t="shared" si="19"/>
        <v>11</v>
      </c>
      <c r="S420" t="str">
        <f t="shared" si="20"/>
        <v>November</v>
      </c>
    </row>
    <row r="421" spans="1:19">
      <c r="A421" t="s">
        <v>616</v>
      </c>
      <c r="B421" s="2">
        <v>45964</v>
      </c>
      <c r="C421" t="s">
        <v>152</v>
      </c>
      <c r="D421" t="s">
        <v>89</v>
      </c>
      <c r="E421" t="s">
        <v>37</v>
      </c>
      <c r="F421" t="s">
        <v>166</v>
      </c>
      <c r="G421" t="s">
        <v>21</v>
      </c>
      <c r="H421" t="s">
        <v>185</v>
      </c>
      <c r="I421">
        <v>1</v>
      </c>
      <c r="J421">
        <v>15000</v>
      </c>
      <c r="K421">
        <v>0.1</v>
      </c>
      <c r="L421" t="s">
        <v>23</v>
      </c>
      <c r="M421" t="s">
        <v>51</v>
      </c>
      <c r="N421">
        <v>15000</v>
      </c>
      <c r="O421">
        <v>1500</v>
      </c>
      <c r="P421">
        <v>13500</v>
      </c>
      <c r="Q421">
        <f t="shared" si="18"/>
        <v>2025</v>
      </c>
      <c r="R421">
        <f t="shared" si="19"/>
        <v>11</v>
      </c>
      <c r="S421" t="str">
        <f t="shared" si="20"/>
        <v>November</v>
      </c>
    </row>
    <row r="422" spans="1:19">
      <c r="A422" t="s">
        <v>617</v>
      </c>
      <c r="B422" s="2">
        <v>45965</v>
      </c>
      <c r="C422" t="s">
        <v>156</v>
      </c>
      <c r="D422" t="s">
        <v>27</v>
      </c>
      <c r="E422" t="s">
        <v>28</v>
      </c>
      <c r="F422" t="s">
        <v>148</v>
      </c>
      <c r="G422" t="s">
        <v>71</v>
      </c>
      <c r="H422" t="s">
        <v>99</v>
      </c>
      <c r="I422">
        <v>3</v>
      </c>
      <c r="J422">
        <v>1800</v>
      </c>
      <c r="K422">
        <v>0.15</v>
      </c>
      <c r="L422" t="s">
        <v>23</v>
      </c>
      <c r="M422" t="s">
        <v>107</v>
      </c>
      <c r="N422">
        <v>5400</v>
      </c>
      <c r="O422">
        <v>810</v>
      </c>
      <c r="P422">
        <v>4590</v>
      </c>
      <c r="Q422">
        <f t="shared" si="18"/>
        <v>2025</v>
      </c>
      <c r="R422">
        <f t="shared" si="19"/>
        <v>11</v>
      </c>
      <c r="S422" t="str">
        <f t="shared" si="20"/>
        <v>November</v>
      </c>
    </row>
    <row r="423" spans="1:19">
      <c r="A423" t="s">
        <v>618</v>
      </c>
      <c r="B423" s="2">
        <v>45965</v>
      </c>
      <c r="C423" t="s">
        <v>47</v>
      </c>
      <c r="D423" t="s">
        <v>18</v>
      </c>
      <c r="E423" t="s">
        <v>37</v>
      </c>
      <c r="F423" t="s">
        <v>43</v>
      </c>
      <c r="G423" t="s">
        <v>57</v>
      </c>
      <c r="H423" t="s">
        <v>97</v>
      </c>
      <c r="I423">
        <v>3</v>
      </c>
      <c r="J423">
        <v>1800</v>
      </c>
      <c r="K423">
        <v>0.05</v>
      </c>
      <c r="L423" t="s">
        <v>44</v>
      </c>
      <c r="M423" t="s">
        <v>51</v>
      </c>
      <c r="N423">
        <v>5400</v>
      </c>
      <c r="O423">
        <v>270</v>
      </c>
      <c r="P423">
        <v>5130</v>
      </c>
      <c r="Q423">
        <f t="shared" si="18"/>
        <v>2025</v>
      </c>
      <c r="R423">
        <f t="shared" si="19"/>
        <v>11</v>
      </c>
      <c r="S423" t="str">
        <f t="shared" si="20"/>
        <v>November</v>
      </c>
    </row>
    <row r="424" spans="1:19">
      <c r="A424" t="s">
        <v>619</v>
      </c>
      <c r="B424" s="2">
        <v>45965</v>
      </c>
      <c r="C424" t="s">
        <v>620</v>
      </c>
      <c r="D424" t="s">
        <v>54</v>
      </c>
      <c r="E424" t="s">
        <v>37</v>
      </c>
      <c r="F424" t="s">
        <v>38</v>
      </c>
      <c r="G424" t="s">
        <v>71</v>
      </c>
      <c r="H424" t="s">
        <v>187</v>
      </c>
      <c r="I424">
        <v>4</v>
      </c>
      <c r="J424">
        <v>55000</v>
      </c>
      <c r="K424">
        <v>0.05</v>
      </c>
      <c r="L424" t="s">
        <v>44</v>
      </c>
      <c r="M424" t="s">
        <v>51</v>
      </c>
      <c r="N424">
        <v>220000</v>
      </c>
      <c r="O424">
        <v>11000</v>
      </c>
      <c r="P424">
        <v>209000</v>
      </c>
      <c r="Q424">
        <f t="shared" si="18"/>
        <v>2025</v>
      </c>
      <c r="R424">
        <f t="shared" si="19"/>
        <v>11</v>
      </c>
      <c r="S424" t="str">
        <f t="shared" si="20"/>
        <v>November</v>
      </c>
    </row>
    <row r="425" spans="1:19">
      <c r="A425" t="s">
        <v>621</v>
      </c>
      <c r="B425" s="2">
        <v>45965</v>
      </c>
      <c r="C425" t="s">
        <v>315</v>
      </c>
      <c r="D425" t="s">
        <v>153</v>
      </c>
      <c r="E425" t="s">
        <v>28</v>
      </c>
      <c r="F425" t="s">
        <v>82</v>
      </c>
      <c r="G425" t="s">
        <v>30</v>
      </c>
      <c r="H425" t="s">
        <v>125</v>
      </c>
      <c r="I425">
        <v>4</v>
      </c>
      <c r="J425">
        <v>3500</v>
      </c>
      <c r="K425">
        <v>0.05</v>
      </c>
      <c r="L425" t="s">
        <v>50</v>
      </c>
      <c r="M425" t="s">
        <v>91</v>
      </c>
      <c r="N425">
        <v>14000</v>
      </c>
      <c r="O425">
        <v>700</v>
      </c>
      <c r="P425">
        <v>13300</v>
      </c>
      <c r="Q425">
        <f t="shared" si="18"/>
        <v>2025</v>
      </c>
      <c r="R425">
        <f t="shared" si="19"/>
        <v>11</v>
      </c>
      <c r="S425" t="str">
        <f t="shared" si="20"/>
        <v>November</v>
      </c>
    </row>
    <row r="426" spans="1:19">
      <c r="A426" t="s">
        <v>622</v>
      </c>
      <c r="B426" s="2">
        <v>45966</v>
      </c>
      <c r="C426" t="s">
        <v>391</v>
      </c>
      <c r="D426" t="s">
        <v>228</v>
      </c>
      <c r="E426" t="s">
        <v>37</v>
      </c>
      <c r="F426" t="s">
        <v>38</v>
      </c>
      <c r="G426" t="s">
        <v>21</v>
      </c>
      <c r="H426" t="s">
        <v>22</v>
      </c>
      <c r="I426">
        <v>1</v>
      </c>
      <c r="J426">
        <v>55000</v>
      </c>
      <c r="K426">
        <v>0.1</v>
      </c>
      <c r="L426" t="s">
        <v>50</v>
      </c>
      <c r="M426" t="s">
        <v>24</v>
      </c>
      <c r="N426">
        <v>55000</v>
      </c>
      <c r="O426">
        <v>5500</v>
      </c>
      <c r="P426">
        <v>49500</v>
      </c>
      <c r="Q426">
        <f t="shared" si="18"/>
        <v>2025</v>
      </c>
      <c r="R426">
        <f t="shared" si="19"/>
        <v>11</v>
      </c>
      <c r="S426" t="str">
        <f t="shared" si="20"/>
        <v>November</v>
      </c>
    </row>
    <row r="427" spans="1:19">
      <c r="A427" t="s">
        <v>623</v>
      </c>
      <c r="B427" s="2">
        <v>45966</v>
      </c>
      <c r="C427" t="s">
        <v>53</v>
      </c>
      <c r="D427" t="s">
        <v>36</v>
      </c>
      <c r="E427" t="s">
        <v>19</v>
      </c>
      <c r="F427" t="s">
        <v>124</v>
      </c>
      <c r="G427" t="s">
        <v>71</v>
      </c>
      <c r="H427" t="s">
        <v>99</v>
      </c>
      <c r="I427">
        <v>2</v>
      </c>
      <c r="J427">
        <v>7000</v>
      </c>
      <c r="K427">
        <v>0.05</v>
      </c>
      <c r="L427" t="s">
        <v>44</v>
      </c>
      <c r="M427" t="s">
        <v>112</v>
      </c>
      <c r="N427">
        <v>14000</v>
      </c>
      <c r="O427">
        <v>700</v>
      </c>
      <c r="P427">
        <v>13300</v>
      </c>
      <c r="Q427">
        <f t="shared" si="18"/>
        <v>2025</v>
      </c>
      <c r="R427">
        <f t="shared" si="19"/>
        <v>11</v>
      </c>
      <c r="S427" t="str">
        <f t="shared" si="20"/>
        <v>November</v>
      </c>
    </row>
    <row r="428" spans="1:19">
      <c r="A428" t="s">
        <v>624</v>
      </c>
      <c r="B428" s="2">
        <v>45967</v>
      </c>
      <c r="C428" t="s">
        <v>252</v>
      </c>
      <c r="D428" t="s">
        <v>228</v>
      </c>
      <c r="E428" t="s">
        <v>19</v>
      </c>
      <c r="F428" t="s">
        <v>20</v>
      </c>
      <c r="G428" t="s">
        <v>57</v>
      </c>
      <c r="H428" t="s">
        <v>75</v>
      </c>
      <c r="I428">
        <v>5</v>
      </c>
      <c r="J428">
        <v>9000</v>
      </c>
      <c r="K428">
        <v>0.1</v>
      </c>
      <c r="L428" t="s">
        <v>32</v>
      </c>
      <c r="M428" t="s">
        <v>45</v>
      </c>
      <c r="N428">
        <v>45000</v>
      </c>
      <c r="O428">
        <v>4500</v>
      </c>
      <c r="P428">
        <v>40500</v>
      </c>
      <c r="Q428">
        <f t="shared" si="18"/>
        <v>2025</v>
      </c>
      <c r="R428">
        <f t="shared" si="19"/>
        <v>11</v>
      </c>
      <c r="S428" t="str">
        <f t="shared" si="20"/>
        <v>November</v>
      </c>
    </row>
    <row r="429" spans="1:19">
      <c r="A429" t="s">
        <v>625</v>
      </c>
      <c r="B429" s="2">
        <v>45968</v>
      </c>
      <c r="C429" t="s">
        <v>158</v>
      </c>
      <c r="D429" t="s">
        <v>18</v>
      </c>
      <c r="E429" t="s">
        <v>55</v>
      </c>
      <c r="F429" t="s">
        <v>145</v>
      </c>
      <c r="G429" t="s">
        <v>21</v>
      </c>
      <c r="H429" t="s">
        <v>181</v>
      </c>
      <c r="I429">
        <v>2</v>
      </c>
      <c r="J429">
        <v>1800</v>
      </c>
      <c r="K429">
        <v>0.05</v>
      </c>
      <c r="L429" t="s">
        <v>44</v>
      </c>
      <c r="M429" t="s">
        <v>33</v>
      </c>
      <c r="N429">
        <v>3600</v>
      </c>
      <c r="O429">
        <v>180</v>
      </c>
      <c r="P429">
        <v>3420</v>
      </c>
      <c r="Q429">
        <f t="shared" si="18"/>
        <v>2025</v>
      </c>
      <c r="R429">
        <f t="shared" si="19"/>
        <v>11</v>
      </c>
      <c r="S429" t="str">
        <f t="shared" si="20"/>
        <v>November</v>
      </c>
    </row>
    <row r="430" spans="1:19">
      <c r="A430" t="s">
        <v>626</v>
      </c>
      <c r="B430" s="2">
        <v>45970</v>
      </c>
      <c r="C430" t="s">
        <v>275</v>
      </c>
      <c r="D430" t="s">
        <v>228</v>
      </c>
      <c r="E430" t="s">
        <v>28</v>
      </c>
      <c r="F430" t="s">
        <v>233</v>
      </c>
      <c r="G430" t="s">
        <v>71</v>
      </c>
      <c r="H430" t="s">
        <v>187</v>
      </c>
      <c r="I430">
        <v>2</v>
      </c>
      <c r="J430">
        <v>2800</v>
      </c>
      <c r="K430">
        <v>0</v>
      </c>
      <c r="L430" t="s">
        <v>32</v>
      </c>
      <c r="M430" t="s">
        <v>91</v>
      </c>
      <c r="N430">
        <v>5600</v>
      </c>
      <c r="O430">
        <v>0</v>
      </c>
      <c r="P430">
        <v>5600</v>
      </c>
      <c r="Q430">
        <f t="shared" si="18"/>
        <v>2025</v>
      </c>
      <c r="R430">
        <f t="shared" si="19"/>
        <v>11</v>
      </c>
      <c r="S430" t="str">
        <f t="shared" si="20"/>
        <v>November</v>
      </c>
    </row>
    <row r="431" spans="1:19">
      <c r="A431" t="s">
        <v>627</v>
      </c>
      <c r="B431" s="2">
        <v>45970</v>
      </c>
      <c r="C431" t="s">
        <v>96</v>
      </c>
      <c r="D431" t="s">
        <v>36</v>
      </c>
      <c r="E431" t="s">
        <v>28</v>
      </c>
      <c r="F431" t="s">
        <v>233</v>
      </c>
      <c r="G431" t="s">
        <v>30</v>
      </c>
      <c r="H431" t="s">
        <v>103</v>
      </c>
      <c r="I431">
        <v>3</v>
      </c>
      <c r="J431">
        <v>2800</v>
      </c>
      <c r="K431">
        <v>0.05</v>
      </c>
      <c r="L431" t="s">
        <v>50</v>
      </c>
      <c r="M431" t="s">
        <v>107</v>
      </c>
      <c r="N431">
        <v>8400</v>
      </c>
      <c r="O431">
        <v>420</v>
      </c>
      <c r="P431">
        <v>7980</v>
      </c>
      <c r="Q431">
        <f t="shared" si="18"/>
        <v>2025</v>
      </c>
      <c r="R431">
        <f t="shared" si="19"/>
        <v>11</v>
      </c>
      <c r="S431" t="str">
        <f t="shared" si="20"/>
        <v>November</v>
      </c>
    </row>
    <row r="432" spans="1:19">
      <c r="A432" t="s">
        <v>628</v>
      </c>
      <c r="B432" s="2">
        <v>45970</v>
      </c>
      <c r="C432" t="s">
        <v>629</v>
      </c>
      <c r="D432" t="s">
        <v>27</v>
      </c>
      <c r="E432" t="s">
        <v>37</v>
      </c>
      <c r="F432" t="s">
        <v>43</v>
      </c>
      <c r="G432" t="s">
        <v>30</v>
      </c>
      <c r="H432" t="s">
        <v>125</v>
      </c>
      <c r="I432">
        <v>4</v>
      </c>
      <c r="J432">
        <v>1800</v>
      </c>
      <c r="K432">
        <v>0.1</v>
      </c>
      <c r="L432" t="s">
        <v>32</v>
      </c>
      <c r="M432" t="s">
        <v>24</v>
      </c>
      <c r="N432">
        <v>7200</v>
      </c>
      <c r="O432">
        <v>720</v>
      </c>
      <c r="P432">
        <v>6480</v>
      </c>
      <c r="Q432">
        <f t="shared" si="18"/>
        <v>2025</v>
      </c>
      <c r="R432">
        <f t="shared" si="19"/>
        <v>11</v>
      </c>
      <c r="S432" t="str">
        <f t="shared" si="20"/>
        <v>November</v>
      </c>
    </row>
    <row r="433" spans="1:19">
      <c r="A433" t="s">
        <v>630</v>
      </c>
      <c r="B433" s="2">
        <v>45970</v>
      </c>
      <c r="C433" t="s">
        <v>260</v>
      </c>
      <c r="D433" t="s">
        <v>228</v>
      </c>
      <c r="E433" t="s">
        <v>28</v>
      </c>
      <c r="F433" t="s">
        <v>233</v>
      </c>
      <c r="G433" t="s">
        <v>71</v>
      </c>
      <c r="H433" t="s">
        <v>187</v>
      </c>
      <c r="I433">
        <v>5</v>
      </c>
      <c r="J433">
        <v>2800</v>
      </c>
      <c r="K433">
        <v>0.05</v>
      </c>
      <c r="L433" t="s">
        <v>50</v>
      </c>
      <c r="M433" t="s">
        <v>107</v>
      </c>
      <c r="N433">
        <v>14000</v>
      </c>
      <c r="O433">
        <v>700</v>
      </c>
      <c r="P433">
        <v>13300</v>
      </c>
      <c r="Q433">
        <f t="shared" si="18"/>
        <v>2025</v>
      </c>
      <c r="R433">
        <f t="shared" si="19"/>
        <v>11</v>
      </c>
      <c r="S433" t="str">
        <f t="shared" si="20"/>
        <v>November</v>
      </c>
    </row>
    <row r="434" spans="1:19">
      <c r="A434" t="s">
        <v>631</v>
      </c>
      <c r="B434" s="2">
        <v>45970</v>
      </c>
      <c r="C434" t="s">
        <v>203</v>
      </c>
      <c r="D434" t="s">
        <v>27</v>
      </c>
      <c r="E434" t="s">
        <v>28</v>
      </c>
      <c r="F434" t="s">
        <v>82</v>
      </c>
      <c r="G434" t="s">
        <v>71</v>
      </c>
      <c r="H434" t="s">
        <v>99</v>
      </c>
      <c r="I434">
        <v>3</v>
      </c>
      <c r="J434">
        <v>3500</v>
      </c>
      <c r="K434">
        <v>0.05</v>
      </c>
      <c r="L434" t="s">
        <v>23</v>
      </c>
      <c r="M434" t="s">
        <v>107</v>
      </c>
      <c r="N434">
        <v>10500</v>
      </c>
      <c r="O434">
        <v>525</v>
      </c>
      <c r="P434">
        <v>9975</v>
      </c>
      <c r="Q434">
        <f t="shared" si="18"/>
        <v>2025</v>
      </c>
      <c r="R434">
        <f t="shared" si="19"/>
        <v>11</v>
      </c>
      <c r="S434" t="str">
        <f t="shared" si="20"/>
        <v>November</v>
      </c>
    </row>
    <row r="435" spans="1:19">
      <c r="A435" t="s">
        <v>632</v>
      </c>
      <c r="B435" s="2">
        <v>45971</v>
      </c>
      <c r="C435" t="s">
        <v>138</v>
      </c>
      <c r="D435" t="s">
        <v>127</v>
      </c>
      <c r="E435" t="s">
        <v>55</v>
      </c>
      <c r="F435" t="s">
        <v>145</v>
      </c>
      <c r="G435" t="s">
        <v>21</v>
      </c>
      <c r="H435" t="s">
        <v>185</v>
      </c>
      <c r="I435">
        <v>2</v>
      </c>
      <c r="J435">
        <v>1800</v>
      </c>
      <c r="K435">
        <v>0.05</v>
      </c>
      <c r="L435" t="s">
        <v>32</v>
      </c>
      <c r="M435" t="s">
        <v>112</v>
      </c>
      <c r="N435">
        <v>3600</v>
      </c>
      <c r="O435">
        <v>180</v>
      </c>
      <c r="P435">
        <v>3420</v>
      </c>
      <c r="Q435">
        <f t="shared" si="18"/>
        <v>2025</v>
      </c>
      <c r="R435">
        <f t="shared" si="19"/>
        <v>11</v>
      </c>
      <c r="S435" t="str">
        <f t="shared" si="20"/>
        <v>November</v>
      </c>
    </row>
    <row r="436" spans="1:19">
      <c r="A436" t="s">
        <v>633</v>
      </c>
      <c r="B436" s="2">
        <v>45973</v>
      </c>
      <c r="C436" t="s">
        <v>479</v>
      </c>
      <c r="D436" t="s">
        <v>115</v>
      </c>
      <c r="E436" t="s">
        <v>28</v>
      </c>
      <c r="F436" t="s">
        <v>233</v>
      </c>
      <c r="G436" t="s">
        <v>30</v>
      </c>
      <c r="H436" t="s">
        <v>31</v>
      </c>
      <c r="I436">
        <v>5</v>
      </c>
      <c r="J436">
        <v>2800</v>
      </c>
      <c r="K436">
        <v>0.05</v>
      </c>
      <c r="L436" t="s">
        <v>32</v>
      </c>
      <c r="M436" t="s">
        <v>51</v>
      </c>
      <c r="N436">
        <v>14000</v>
      </c>
      <c r="O436">
        <v>700</v>
      </c>
      <c r="P436">
        <v>13300</v>
      </c>
      <c r="Q436">
        <f t="shared" si="18"/>
        <v>2025</v>
      </c>
      <c r="R436">
        <f t="shared" si="19"/>
        <v>11</v>
      </c>
      <c r="S436" t="str">
        <f t="shared" si="20"/>
        <v>November</v>
      </c>
    </row>
    <row r="437" spans="1:19">
      <c r="A437" t="s">
        <v>634</v>
      </c>
      <c r="B437" s="2">
        <v>45977</v>
      </c>
      <c r="C437" t="s">
        <v>156</v>
      </c>
      <c r="D437" t="s">
        <v>61</v>
      </c>
      <c r="E437" t="s">
        <v>28</v>
      </c>
      <c r="F437" t="s">
        <v>82</v>
      </c>
      <c r="G437" t="s">
        <v>21</v>
      </c>
      <c r="H437" t="s">
        <v>83</v>
      </c>
      <c r="I437">
        <v>1</v>
      </c>
      <c r="J437">
        <v>3500</v>
      </c>
      <c r="K437">
        <v>0.05</v>
      </c>
      <c r="L437" t="s">
        <v>44</v>
      </c>
      <c r="M437" t="s">
        <v>45</v>
      </c>
      <c r="N437">
        <v>3500</v>
      </c>
      <c r="O437">
        <v>175</v>
      </c>
      <c r="P437">
        <v>3325</v>
      </c>
      <c r="Q437">
        <f t="shared" si="18"/>
        <v>2025</v>
      </c>
      <c r="R437">
        <f t="shared" si="19"/>
        <v>11</v>
      </c>
      <c r="S437" t="str">
        <f t="shared" si="20"/>
        <v>November</v>
      </c>
    </row>
    <row r="438" spans="1:19">
      <c r="A438" t="s">
        <v>635</v>
      </c>
      <c r="B438" s="2">
        <v>45978</v>
      </c>
      <c r="C438" t="s">
        <v>53</v>
      </c>
      <c r="D438" t="s">
        <v>86</v>
      </c>
      <c r="E438" t="s">
        <v>28</v>
      </c>
      <c r="F438" t="s">
        <v>29</v>
      </c>
      <c r="G438" t="s">
        <v>30</v>
      </c>
      <c r="H438" t="s">
        <v>125</v>
      </c>
      <c r="I438">
        <v>4</v>
      </c>
      <c r="J438">
        <v>4000</v>
      </c>
      <c r="K438">
        <v>0</v>
      </c>
      <c r="L438" t="s">
        <v>23</v>
      </c>
      <c r="M438" t="s">
        <v>45</v>
      </c>
      <c r="N438">
        <v>16000</v>
      </c>
      <c r="O438">
        <v>0</v>
      </c>
      <c r="P438">
        <v>16000</v>
      </c>
      <c r="Q438">
        <f t="shared" si="18"/>
        <v>2025</v>
      </c>
      <c r="R438">
        <f t="shared" si="19"/>
        <v>11</v>
      </c>
      <c r="S438" t="str">
        <f t="shared" si="20"/>
        <v>November</v>
      </c>
    </row>
    <row r="439" spans="1:19">
      <c r="A439" t="s">
        <v>636</v>
      </c>
      <c r="B439" s="2">
        <v>45978</v>
      </c>
      <c r="C439" t="s">
        <v>620</v>
      </c>
      <c r="D439" t="s">
        <v>18</v>
      </c>
      <c r="E439" t="s">
        <v>37</v>
      </c>
      <c r="F439" t="s">
        <v>38</v>
      </c>
      <c r="G439" t="s">
        <v>30</v>
      </c>
      <c r="H439" t="s">
        <v>31</v>
      </c>
      <c r="I439">
        <v>4</v>
      </c>
      <c r="J439">
        <v>55000</v>
      </c>
      <c r="K439">
        <v>0</v>
      </c>
      <c r="L439" t="s">
        <v>50</v>
      </c>
      <c r="M439" t="s">
        <v>91</v>
      </c>
      <c r="N439">
        <v>220000</v>
      </c>
      <c r="O439">
        <v>0</v>
      </c>
      <c r="P439">
        <v>220000</v>
      </c>
      <c r="Q439">
        <f t="shared" si="18"/>
        <v>2025</v>
      </c>
      <c r="R439">
        <f t="shared" si="19"/>
        <v>11</v>
      </c>
      <c r="S439" t="str">
        <f t="shared" si="20"/>
        <v>November</v>
      </c>
    </row>
    <row r="440" spans="1:19">
      <c r="A440" t="s">
        <v>637</v>
      </c>
      <c r="B440" s="2">
        <v>45980</v>
      </c>
      <c r="C440" t="s">
        <v>281</v>
      </c>
      <c r="D440" t="s">
        <v>42</v>
      </c>
      <c r="E440" t="s">
        <v>28</v>
      </c>
      <c r="F440" t="s">
        <v>66</v>
      </c>
      <c r="G440" t="s">
        <v>21</v>
      </c>
      <c r="H440" t="s">
        <v>185</v>
      </c>
      <c r="I440">
        <v>5</v>
      </c>
      <c r="J440">
        <v>900</v>
      </c>
      <c r="K440">
        <v>0</v>
      </c>
      <c r="L440" t="s">
        <v>44</v>
      </c>
      <c r="M440" t="s">
        <v>39</v>
      </c>
      <c r="N440">
        <v>4500</v>
      </c>
      <c r="O440">
        <v>0</v>
      </c>
      <c r="P440">
        <v>4500</v>
      </c>
      <c r="Q440">
        <f t="shared" si="18"/>
        <v>2025</v>
      </c>
      <c r="R440">
        <f t="shared" si="19"/>
        <v>11</v>
      </c>
      <c r="S440" t="str">
        <f t="shared" si="20"/>
        <v>November</v>
      </c>
    </row>
    <row r="441" spans="1:19">
      <c r="A441" t="s">
        <v>638</v>
      </c>
      <c r="B441" s="2">
        <v>45980</v>
      </c>
      <c r="C441" t="s">
        <v>119</v>
      </c>
      <c r="D441" t="s">
        <v>61</v>
      </c>
      <c r="E441" t="s">
        <v>37</v>
      </c>
      <c r="F441" t="s">
        <v>38</v>
      </c>
      <c r="G441" t="s">
        <v>30</v>
      </c>
      <c r="H441" t="s">
        <v>103</v>
      </c>
      <c r="I441">
        <v>3</v>
      </c>
      <c r="J441">
        <v>55000</v>
      </c>
      <c r="K441">
        <v>0.05</v>
      </c>
      <c r="L441" t="s">
        <v>32</v>
      </c>
      <c r="M441" t="s">
        <v>107</v>
      </c>
      <c r="N441">
        <v>165000</v>
      </c>
      <c r="O441">
        <v>8250</v>
      </c>
      <c r="P441">
        <v>156750</v>
      </c>
      <c r="Q441">
        <f t="shared" si="18"/>
        <v>2025</v>
      </c>
      <c r="R441">
        <f t="shared" si="19"/>
        <v>11</v>
      </c>
      <c r="S441" t="str">
        <f t="shared" si="20"/>
        <v>November</v>
      </c>
    </row>
    <row r="442" spans="1:19">
      <c r="A442" t="s">
        <v>639</v>
      </c>
      <c r="B442" s="2">
        <v>45981</v>
      </c>
      <c r="C442" t="s">
        <v>223</v>
      </c>
      <c r="D442" t="s">
        <v>27</v>
      </c>
      <c r="E442" t="s">
        <v>37</v>
      </c>
      <c r="F442" t="s">
        <v>38</v>
      </c>
      <c r="G442" t="s">
        <v>71</v>
      </c>
      <c r="H442" t="s">
        <v>72</v>
      </c>
      <c r="I442">
        <v>2</v>
      </c>
      <c r="J442">
        <v>55000</v>
      </c>
      <c r="K442">
        <v>0</v>
      </c>
      <c r="L442" t="s">
        <v>50</v>
      </c>
      <c r="M442" t="s">
        <v>51</v>
      </c>
      <c r="N442">
        <v>110000</v>
      </c>
      <c r="O442">
        <v>0</v>
      </c>
      <c r="P442">
        <v>110000</v>
      </c>
      <c r="Q442">
        <f t="shared" si="18"/>
        <v>2025</v>
      </c>
      <c r="R442">
        <f t="shared" si="19"/>
        <v>11</v>
      </c>
      <c r="S442" t="str">
        <f t="shared" si="20"/>
        <v>November</v>
      </c>
    </row>
    <row r="443" spans="1:19">
      <c r="A443" t="s">
        <v>640</v>
      </c>
      <c r="B443" s="2">
        <v>45981</v>
      </c>
      <c r="C443" t="s">
        <v>269</v>
      </c>
      <c r="D443" t="s">
        <v>228</v>
      </c>
      <c r="E443" t="s">
        <v>28</v>
      </c>
      <c r="F443" t="s">
        <v>66</v>
      </c>
      <c r="G443" t="s">
        <v>71</v>
      </c>
      <c r="H443" t="s">
        <v>128</v>
      </c>
      <c r="I443">
        <v>3</v>
      </c>
      <c r="J443">
        <v>900</v>
      </c>
      <c r="K443">
        <v>0</v>
      </c>
      <c r="L443" t="s">
        <v>32</v>
      </c>
      <c r="M443" t="s">
        <v>112</v>
      </c>
      <c r="N443">
        <v>2700</v>
      </c>
      <c r="O443">
        <v>0</v>
      </c>
      <c r="P443">
        <v>2700</v>
      </c>
      <c r="Q443">
        <f t="shared" si="18"/>
        <v>2025</v>
      </c>
      <c r="R443">
        <f t="shared" si="19"/>
        <v>11</v>
      </c>
      <c r="S443" t="str">
        <f t="shared" si="20"/>
        <v>November</v>
      </c>
    </row>
    <row r="444" spans="1:19">
      <c r="A444" t="s">
        <v>641</v>
      </c>
      <c r="B444" s="2">
        <v>45981</v>
      </c>
      <c r="C444" t="s">
        <v>240</v>
      </c>
      <c r="D444" t="s">
        <v>36</v>
      </c>
      <c r="E444" t="s">
        <v>37</v>
      </c>
      <c r="F444" t="s">
        <v>43</v>
      </c>
      <c r="G444" t="s">
        <v>30</v>
      </c>
      <c r="H444" t="s">
        <v>103</v>
      </c>
      <c r="I444">
        <v>5</v>
      </c>
      <c r="J444">
        <v>1800</v>
      </c>
      <c r="K444">
        <v>0.05</v>
      </c>
      <c r="L444" t="s">
        <v>44</v>
      </c>
      <c r="M444" t="s">
        <v>39</v>
      </c>
      <c r="N444">
        <v>9000</v>
      </c>
      <c r="O444">
        <v>450</v>
      </c>
      <c r="P444">
        <v>8550</v>
      </c>
      <c r="Q444">
        <f t="shared" si="18"/>
        <v>2025</v>
      </c>
      <c r="R444">
        <f t="shared" si="19"/>
        <v>11</v>
      </c>
      <c r="S444" t="str">
        <f t="shared" si="20"/>
        <v>November</v>
      </c>
    </row>
    <row r="445" spans="1:19">
      <c r="A445" t="s">
        <v>642</v>
      </c>
      <c r="B445" s="2">
        <v>45981</v>
      </c>
      <c r="C445" t="s">
        <v>101</v>
      </c>
      <c r="D445" t="s">
        <v>153</v>
      </c>
      <c r="E445" t="s">
        <v>62</v>
      </c>
      <c r="F445" t="s">
        <v>94</v>
      </c>
      <c r="G445" t="s">
        <v>30</v>
      </c>
      <c r="H445" t="s">
        <v>103</v>
      </c>
      <c r="I445">
        <v>5</v>
      </c>
      <c r="J445">
        <v>120</v>
      </c>
      <c r="K445">
        <v>0</v>
      </c>
      <c r="L445" t="s">
        <v>44</v>
      </c>
      <c r="M445" t="s">
        <v>51</v>
      </c>
      <c r="N445">
        <v>600</v>
      </c>
      <c r="O445">
        <v>0</v>
      </c>
      <c r="P445">
        <v>600</v>
      </c>
      <c r="Q445">
        <f t="shared" si="18"/>
        <v>2025</v>
      </c>
      <c r="R445">
        <f t="shared" si="19"/>
        <v>11</v>
      </c>
      <c r="S445" t="str">
        <f t="shared" si="20"/>
        <v>November</v>
      </c>
    </row>
    <row r="446" spans="1:19">
      <c r="A446" t="s">
        <v>643</v>
      </c>
      <c r="B446" s="2">
        <v>45983</v>
      </c>
      <c r="C446" t="s">
        <v>262</v>
      </c>
      <c r="D446" t="s">
        <v>74</v>
      </c>
      <c r="E446" t="s">
        <v>37</v>
      </c>
      <c r="F446" t="s">
        <v>90</v>
      </c>
      <c r="G446" t="s">
        <v>71</v>
      </c>
      <c r="H446" t="s">
        <v>99</v>
      </c>
      <c r="I446">
        <v>4</v>
      </c>
      <c r="J446">
        <v>900</v>
      </c>
      <c r="K446">
        <v>0.05</v>
      </c>
      <c r="L446" t="s">
        <v>44</v>
      </c>
      <c r="M446" t="s">
        <v>33</v>
      </c>
      <c r="N446">
        <v>3600</v>
      </c>
      <c r="O446">
        <v>180</v>
      </c>
      <c r="P446">
        <v>3420</v>
      </c>
      <c r="Q446">
        <f t="shared" si="18"/>
        <v>2025</v>
      </c>
      <c r="R446">
        <f t="shared" si="19"/>
        <v>11</v>
      </c>
      <c r="S446" t="str">
        <f t="shared" si="20"/>
        <v>November</v>
      </c>
    </row>
    <row r="447" spans="1:19">
      <c r="A447" t="s">
        <v>644</v>
      </c>
      <c r="B447" s="2">
        <v>45983</v>
      </c>
      <c r="C447" t="s">
        <v>238</v>
      </c>
      <c r="D447" t="s">
        <v>115</v>
      </c>
      <c r="E447" t="s">
        <v>37</v>
      </c>
      <c r="F447" t="s">
        <v>136</v>
      </c>
      <c r="G447" t="s">
        <v>21</v>
      </c>
      <c r="H447" t="s">
        <v>22</v>
      </c>
      <c r="I447">
        <v>5</v>
      </c>
      <c r="J447">
        <v>25000</v>
      </c>
      <c r="K447">
        <v>0.1</v>
      </c>
      <c r="L447" t="s">
        <v>44</v>
      </c>
      <c r="M447" t="s">
        <v>112</v>
      </c>
      <c r="N447">
        <v>125000</v>
      </c>
      <c r="O447">
        <v>12500</v>
      </c>
      <c r="P447">
        <v>112500</v>
      </c>
      <c r="Q447">
        <f t="shared" si="18"/>
        <v>2025</v>
      </c>
      <c r="R447">
        <f t="shared" si="19"/>
        <v>11</v>
      </c>
      <c r="S447" t="str">
        <f t="shared" si="20"/>
        <v>November</v>
      </c>
    </row>
    <row r="448" spans="1:19">
      <c r="A448" t="s">
        <v>645</v>
      </c>
      <c r="B448" s="2">
        <v>45984</v>
      </c>
      <c r="C448" t="s">
        <v>333</v>
      </c>
      <c r="D448" t="s">
        <v>18</v>
      </c>
      <c r="E448" t="s">
        <v>37</v>
      </c>
      <c r="F448" t="s">
        <v>90</v>
      </c>
      <c r="G448" t="s">
        <v>30</v>
      </c>
      <c r="H448" t="s">
        <v>31</v>
      </c>
      <c r="I448">
        <v>4</v>
      </c>
      <c r="J448">
        <v>900</v>
      </c>
      <c r="K448">
        <v>0</v>
      </c>
      <c r="L448" t="s">
        <v>23</v>
      </c>
      <c r="M448" t="s">
        <v>51</v>
      </c>
      <c r="N448">
        <v>3600</v>
      </c>
      <c r="O448">
        <v>0</v>
      </c>
      <c r="P448">
        <v>3600</v>
      </c>
      <c r="Q448">
        <f t="shared" si="18"/>
        <v>2025</v>
      </c>
      <c r="R448">
        <f t="shared" si="19"/>
        <v>11</v>
      </c>
      <c r="S448" t="str">
        <f t="shared" si="20"/>
        <v>November</v>
      </c>
    </row>
    <row r="449" spans="1:19">
      <c r="A449" t="s">
        <v>646</v>
      </c>
      <c r="B449" s="2">
        <v>45985</v>
      </c>
      <c r="C449" t="s">
        <v>105</v>
      </c>
      <c r="D449" t="s">
        <v>69</v>
      </c>
      <c r="E449" t="s">
        <v>28</v>
      </c>
      <c r="F449" t="s">
        <v>66</v>
      </c>
      <c r="G449" t="s">
        <v>21</v>
      </c>
      <c r="H449" t="s">
        <v>185</v>
      </c>
      <c r="I449">
        <v>3</v>
      </c>
      <c r="J449">
        <v>900</v>
      </c>
      <c r="K449">
        <v>0.05</v>
      </c>
      <c r="L449" t="s">
        <v>23</v>
      </c>
      <c r="M449" t="s">
        <v>107</v>
      </c>
      <c r="N449">
        <v>2700</v>
      </c>
      <c r="O449">
        <v>135</v>
      </c>
      <c r="P449">
        <v>2565</v>
      </c>
      <c r="Q449">
        <f t="shared" si="18"/>
        <v>2025</v>
      </c>
      <c r="R449">
        <f t="shared" si="19"/>
        <v>11</v>
      </c>
      <c r="S449" t="str">
        <f t="shared" si="20"/>
        <v>November</v>
      </c>
    </row>
    <row r="450" spans="1:19">
      <c r="A450" t="s">
        <v>647</v>
      </c>
      <c r="B450" s="2">
        <v>45985</v>
      </c>
      <c r="C450" t="s">
        <v>341</v>
      </c>
      <c r="D450" t="s">
        <v>228</v>
      </c>
      <c r="E450" t="s">
        <v>19</v>
      </c>
      <c r="F450" t="s">
        <v>124</v>
      </c>
      <c r="G450" t="s">
        <v>21</v>
      </c>
      <c r="H450" t="s">
        <v>22</v>
      </c>
      <c r="I450">
        <v>4</v>
      </c>
      <c r="J450">
        <v>7000</v>
      </c>
      <c r="K450">
        <v>0.1</v>
      </c>
      <c r="L450" t="s">
        <v>32</v>
      </c>
      <c r="M450" t="s">
        <v>24</v>
      </c>
      <c r="N450">
        <v>28000</v>
      </c>
      <c r="O450">
        <v>2800</v>
      </c>
      <c r="P450">
        <v>25200</v>
      </c>
      <c r="Q450">
        <f t="shared" si="18"/>
        <v>2025</v>
      </c>
      <c r="R450">
        <f t="shared" si="19"/>
        <v>11</v>
      </c>
      <c r="S450" t="str">
        <f t="shared" si="20"/>
        <v>November</v>
      </c>
    </row>
    <row r="451" spans="1:19">
      <c r="A451" t="s">
        <v>648</v>
      </c>
      <c r="B451" s="2">
        <v>45987</v>
      </c>
      <c r="C451" t="s">
        <v>245</v>
      </c>
      <c r="D451" t="s">
        <v>106</v>
      </c>
      <c r="E451" t="s">
        <v>28</v>
      </c>
      <c r="F451" t="s">
        <v>233</v>
      </c>
      <c r="G451" t="s">
        <v>21</v>
      </c>
      <c r="H451" t="s">
        <v>83</v>
      </c>
      <c r="I451">
        <v>1</v>
      </c>
      <c r="J451">
        <v>2800</v>
      </c>
      <c r="K451">
        <v>0.15</v>
      </c>
      <c r="L451" t="s">
        <v>32</v>
      </c>
      <c r="M451" t="s">
        <v>33</v>
      </c>
      <c r="N451">
        <v>2800</v>
      </c>
      <c r="O451">
        <v>420</v>
      </c>
      <c r="P451">
        <v>2380</v>
      </c>
      <c r="Q451">
        <f t="shared" ref="Q451:Q501" si="21">YEAR(B451)</f>
        <v>2025</v>
      </c>
      <c r="R451">
        <f t="shared" ref="R451:R501" si="22">MONTH(B451)</f>
        <v>11</v>
      </c>
      <c r="S451" t="str">
        <f t="shared" ref="S451:S501" si="23">TEXT(B451,"mmmm")</f>
        <v>November</v>
      </c>
    </row>
    <row r="452" spans="1:19">
      <c r="A452" t="s">
        <v>649</v>
      </c>
      <c r="B452" s="2">
        <v>45988</v>
      </c>
      <c r="C452" t="s">
        <v>355</v>
      </c>
      <c r="D452" t="s">
        <v>74</v>
      </c>
      <c r="E452" t="s">
        <v>37</v>
      </c>
      <c r="F452" t="s">
        <v>136</v>
      </c>
      <c r="G452" t="s">
        <v>30</v>
      </c>
      <c r="H452" t="s">
        <v>103</v>
      </c>
      <c r="I452">
        <v>2</v>
      </c>
      <c r="J452">
        <v>25000</v>
      </c>
      <c r="K452">
        <v>0.15</v>
      </c>
      <c r="L452" t="s">
        <v>44</v>
      </c>
      <c r="M452" t="s">
        <v>107</v>
      </c>
      <c r="N452">
        <v>50000</v>
      </c>
      <c r="O452">
        <v>7500</v>
      </c>
      <c r="P452">
        <v>42500</v>
      </c>
      <c r="Q452">
        <f t="shared" si="21"/>
        <v>2025</v>
      </c>
      <c r="R452">
        <f t="shared" si="22"/>
        <v>11</v>
      </c>
      <c r="S452" t="str">
        <f t="shared" si="23"/>
        <v>November</v>
      </c>
    </row>
    <row r="453" spans="1:19">
      <c r="A453" t="s">
        <v>650</v>
      </c>
      <c r="B453" s="2">
        <v>45989</v>
      </c>
      <c r="C453" t="s">
        <v>448</v>
      </c>
      <c r="D453" t="s">
        <v>228</v>
      </c>
      <c r="E453" t="s">
        <v>19</v>
      </c>
      <c r="F453" t="s">
        <v>139</v>
      </c>
      <c r="G453" t="s">
        <v>71</v>
      </c>
      <c r="H453" t="s">
        <v>72</v>
      </c>
      <c r="I453">
        <v>4</v>
      </c>
      <c r="J453">
        <v>6000</v>
      </c>
      <c r="K453">
        <v>0.15</v>
      </c>
      <c r="L453" t="s">
        <v>50</v>
      </c>
      <c r="M453" t="s">
        <v>91</v>
      </c>
      <c r="N453">
        <v>24000</v>
      </c>
      <c r="O453">
        <v>3600</v>
      </c>
      <c r="P453">
        <v>20400</v>
      </c>
      <c r="Q453">
        <f t="shared" si="21"/>
        <v>2025</v>
      </c>
      <c r="R453">
        <f t="shared" si="22"/>
        <v>11</v>
      </c>
      <c r="S453" t="str">
        <f t="shared" si="23"/>
        <v>November</v>
      </c>
    </row>
    <row r="454" spans="1:19">
      <c r="A454" t="s">
        <v>651</v>
      </c>
      <c r="B454" s="2">
        <v>45991</v>
      </c>
      <c r="C454" t="s">
        <v>325</v>
      </c>
      <c r="D454" t="s">
        <v>228</v>
      </c>
      <c r="E454" t="s">
        <v>19</v>
      </c>
      <c r="F454" t="s">
        <v>124</v>
      </c>
      <c r="G454" t="s">
        <v>30</v>
      </c>
      <c r="H454" t="s">
        <v>31</v>
      </c>
      <c r="I454">
        <v>4</v>
      </c>
      <c r="J454">
        <v>7000</v>
      </c>
      <c r="K454">
        <v>0.15</v>
      </c>
      <c r="L454" t="s">
        <v>44</v>
      </c>
      <c r="M454" t="s">
        <v>51</v>
      </c>
      <c r="N454">
        <v>28000</v>
      </c>
      <c r="O454">
        <v>4200</v>
      </c>
      <c r="P454">
        <v>23800</v>
      </c>
      <c r="Q454">
        <f t="shared" si="21"/>
        <v>2025</v>
      </c>
      <c r="R454">
        <f t="shared" si="22"/>
        <v>11</v>
      </c>
      <c r="S454" t="str">
        <f t="shared" si="23"/>
        <v>November</v>
      </c>
    </row>
    <row r="455" spans="1:19">
      <c r="A455" t="s">
        <v>652</v>
      </c>
      <c r="B455" s="2">
        <v>45992</v>
      </c>
      <c r="C455" t="s">
        <v>360</v>
      </c>
      <c r="D455" t="s">
        <v>42</v>
      </c>
      <c r="E455" t="s">
        <v>28</v>
      </c>
      <c r="F455" t="s">
        <v>233</v>
      </c>
      <c r="G455" t="s">
        <v>57</v>
      </c>
      <c r="H455" t="s">
        <v>142</v>
      </c>
      <c r="I455">
        <v>5</v>
      </c>
      <c r="J455">
        <v>2800</v>
      </c>
      <c r="K455">
        <v>0.1</v>
      </c>
      <c r="L455" t="s">
        <v>32</v>
      </c>
      <c r="M455" t="s">
        <v>45</v>
      </c>
      <c r="N455">
        <v>14000</v>
      </c>
      <c r="O455">
        <v>1400</v>
      </c>
      <c r="P455">
        <v>12600</v>
      </c>
      <c r="Q455">
        <f t="shared" si="21"/>
        <v>2025</v>
      </c>
      <c r="R455">
        <f t="shared" si="22"/>
        <v>12</v>
      </c>
      <c r="S455" t="str">
        <f t="shared" si="23"/>
        <v>December</v>
      </c>
    </row>
    <row r="456" spans="1:19">
      <c r="A456" t="s">
        <v>653</v>
      </c>
      <c r="B456" s="2">
        <v>45995</v>
      </c>
      <c r="C456" t="s">
        <v>305</v>
      </c>
      <c r="D456" t="s">
        <v>18</v>
      </c>
      <c r="E456" t="s">
        <v>62</v>
      </c>
      <c r="F456" t="s">
        <v>293</v>
      </c>
      <c r="G456" t="s">
        <v>30</v>
      </c>
      <c r="H456" t="s">
        <v>31</v>
      </c>
      <c r="I456">
        <v>5</v>
      </c>
      <c r="J456">
        <v>500</v>
      </c>
      <c r="K456">
        <v>0.05</v>
      </c>
      <c r="L456" t="s">
        <v>32</v>
      </c>
      <c r="M456" t="s">
        <v>33</v>
      </c>
      <c r="N456">
        <v>2500</v>
      </c>
      <c r="O456">
        <v>125</v>
      </c>
      <c r="P456">
        <v>2375</v>
      </c>
      <c r="Q456">
        <f t="shared" si="21"/>
        <v>2025</v>
      </c>
      <c r="R456">
        <f t="shared" si="22"/>
        <v>12</v>
      </c>
      <c r="S456" t="str">
        <f t="shared" si="23"/>
        <v>December</v>
      </c>
    </row>
    <row r="457" spans="1:19">
      <c r="A457" t="s">
        <v>654</v>
      </c>
      <c r="B457" s="2">
        <v>45995</v>
      </c>
      <c r="C457" t="s">
        <v>448</v>
      </c>
      <c r="D457" t="s">
        <v>120</v>
      </c>
      <c r="E457" t="s">
        <v>37</v>
      </c>
      <c r="F457" t="s">
        <v>38</v>
      </c>
      <c r="G457" t="s">
        <v>71</v>
      </c>
      <c r="H457" t="s">
        <v>128</v>
      </c>
      <c r="I457">
        <v>4</v>
      </c>
      <c r="J457">
        <v>55000</v>
      </c>
      <c r="K457">
        <v>0.05</v>
      </c>
      <c r="L457" t="s">
        <v>32</v>
      </c>
      <c r="M457" t="s">
        <v>45</v>
      </c>
      <c r="N457">
        <v>220000</v>
      </c>
      <c r="O457">
        <v>11000</v>
      </c>
      <c r="P457">
        <v>209000</v>
      </c>
      <c r="Q457">
        <f t="shared" si="21"/>
        <v>2025</v>
      </c>
      <c r="R457">
        <f t="shared" si="22"/>
        <v>12</v>
      </c>
      <c r="S457" t="str">
        <f t="shared" si="23"/>
        <v>December</v>
      </c>
    </row>
    <row r="458" spans="1:19">
      <c r="A458" t="s">
        <v>655</v>
      </c>
      <c r="B458" s="2">
        <v>45996</v>
      </c>
      <c r="C458" t="s">
        <v>192</v>
      </c>
      <c r="D458" t="s">
        <v>36</v>
      </c>
      <c r="E458" t="s">
        <v>19</v>
      </c>
      <c r="F458" t="s">
        <v>124</v>
      </c>
      <c r="G458" t="s">
        <v>30</v>
      </c>
      <c r="H458" t="s">
        <v>125</v>
      </c>
      <c r="I458">
        <v>2</v>
      </c>
      <c r="J458">
        <v>7000</v>
      </c>
      <c r="K458">
        <v>0.1</v>
      </c>
      <c r="L458" t="s">
        <v>44</v>
      </c>
      <c r="M458" t="s">
        <v>45</v>
      </c>
      <c r="N458">
        <v>14000</v>
      </c>
      <c r="O458">
        <v>1400</v>
      </c>
      <c r="P458">
        <v>12600</v>
      </c>
      <c r="Q458">
        <f t="shared" si="21"/>
        <v>2025</v>
      </c>
      <c r="R458">
        <f t="shared" si="22"/>
        <v>12</v>
      </c>
      <c r="S458" t="str">
        <f t="shared" si="23"/>
        <v>December</v>
      </c>
    </row>
    <row r="459" spans="1:19">
      <c r="A459" t="s">
        <v>656</v>
      </c>
      <c r="B459" s="2">
        <v>45996</v>
      </c>
      <c r="C459" t="s">
        <v>53</v>
      </c>
      <c r="D459" t="s">
        <v>115</v>
      </c>
      <c r="E459" t="s">
        <v>28</v>
      </c>
      <c r="F459" t="s">
        <v>82</v>
      </c>
      <c r="G459" t="s">
        <v>71</v>
      </c>
      <c r="H459" t="s">
        <v>99</v>
      </c>
      <c r="I459">
        <v>1</v>
      </c>
      <c r="J459">
        <v>3500</v>
      </c>
      <c r="K459">
        <v>0.05</v>
      </c>
      <c r="L459" t="s">
        <v>23</v>
      </c>
      <c r="M459" t="s">
        <v>112</v>
      </c>
      <c r="N459">
        <v>3500</v>
      </c>
      <c r="O459">
        <v>175</v>
      </c>
      <c r="P459">
        <v>3325</v>
      </c>
      <c r="Q459">
        <f t="shared" si="21"/>
        <v>2025</v>
      </c>
      <c r="R459">
        <f t="shared" si="22"/>
        <v>12</v>
      </c>
      <c r="S459" t="str">
        <f t="shared" si="23"/>
        <v>December</v>
      </c>
    </row>
    <row r="460" spans="1:19">
      <c r="A460" t="s">
        <v>657</v>
      </c>
      <c r="B460" s="2">
        <v>45996</v>
      </c>
      <c r="C460" t="s">
        <v>325</v>
      </c>
      <c r="D460" t="s">
        <v>27</v>
      </c>
      <c r="E460" t="s">
        <v>28</v>
      </c>
      <c r="F460" t="s">
        <v>148</v>
      </c>
      <c r="G460" t="s">
        <v>57</v>
      </c>
      <c r="H460" t="s">
        <v>142</v>
      </c>
      <c r="I460">
        <v>5</v>
      </c>
      <c r="J460">
        <v>1800</v>
      </c>
      <c r="K460">
        <v>0.1</v>
      </c>
      <c r="L460" t="s">
        <v>23</v>
      </c>
      <c r="M460" t="s">
        <v>24</v>
      </c>
      <c r="N460">
        <v>9000</v>
      </c>
      <c r="O460">
        <v>900</v>
      </c>
      <c r="P460">
        <v>8100</v>
      </c>
      <c r="Q460">
        <f t="shared" si="21"/>
        <v>2025</v>
      </c>
      <c r="R460">
        <f t="shared" si="22"/>
        <v>12</v>
      </c>
      <c r="S460" t="str">
        <f t="shared" si="23"/>
        <v>December</v>
      </c>
    </row>
    <row r="461" spans="1:19">
      <c r="A461" t="s">
        <v>658</v>
      </c>
      <c r="B461" s="2">
        <v>45999</v>
      </c>
      <c r="C461" t="s">
        <v>221</v>
      </c>
      <c r="D461" t="s">
        <v>36</v>
      </c>
      <c r="E461" t="s">
        <v>19</v>
      </c>
      <c r="F461" t="s">
        <v>124</v>
      </c>
      <c r="G461" t="s">
        <v>57</v>
      </c>
      <c r="H461" t="s">
        <v>75</v>
      </c>
      <c r="I461">
        <v>4</v>
      </c>
      <c r="J461">
        <v>7000</v>
      </c>
      <c r="K461">
        <v>0</v>
      </c>
      <c r="L461" t="s">
        <v>44</v>
      </c>
      <c r="M461" t="s">
        <v>24</v>
      </c>
      <c r="N461">
        <v>28000</v>
      </c>
      <c r="O461">
        <v>0</v>
      </c>
      <c r="P461">
        <v>28000</v>
      </c>
      <c r="Q461">
        <f t="shared" si="21"/>
        <v>2025</v>
      </c>
      <c r="R461">
        <f t="shared" si="22"/>
        <v>12</v>
      </c>
      <c r="S461" t="str">
        <f t="shared" si="23"/>
        <v>December</v>
      </c>
    </row>
    <row r="462" spans="1:19">
      <c r="A462" t="s">
        <v>659</v>
      </c>
      <c r="B462" s="2">
        <v>45999</v>
      </c>
      <c r="C462" t="s">
        <v>272</v>
      </c>
      <c r="D462" t="s">
        <v>81</v>
      </c>
      <c r="E462" t="s">
        <v>28</v>
      </c>
      <c r="F462" t="s">
        <v>29</v>
      </c>
      <c r="G462" t="s">
        <v>21</v>
      </c>
      <c r="H462" t="s">
        <v>185</v>
      </c>
      <c r="I462">
        <v>4</v>
      </c>
      <c r="J462">
        <v>4000</v>
      </c>
      <c r="K462">
        <v>0.05</v>
      </c>
      <c r="L462" t="s">
        <v>50</v>
      </c>
      <c r="M462" t="s">
        <v>107</v>
      </c>
      <c r="N462">
        <v>16000</v>
      </c>
      <c r="O462">
        <v>800</v>
      </c>
      <c r="P462">
        <v>15200</v>
      </c>
      <c r="Q462">
        <f t="shared" si="21"/>
        <v>2025</v>
      </c>
      <c r="R462">
        <f t="shared" si="22"/>
        <v>12</v>
      </c>
      <c r="S462" t="str">
        <f t="shared" si="23"/>
        <v>December</v>
      </c>
    </row>
    <row r="463" spans="1:19">
      <c r="A463" t="s">
        <v>660</v>
      </c>
      <c r="B463" s="2">
        <v>46000</v>
      </c>
      <c r="C463" t="s">
        <v>77</v>
      </c>
      <c r="D463" t="s">
        <v>102</v>
      </c>
      <c r="E463" t="s">
        <v>19</v>
      </c>
      <c r="F463" t="s">
        <v>139</v>
      </c>
      <c r="G463" t="s">
        <v>71</v>
      </c>
      <c r="H463" t="s">
        <v>72</v>
      </c>
      <c r="I463">
        <v>1</v>
      </c>
      <c r="J463">
        <v>6000</v>
      </c>
      <c r="K463">
        <v>0.1</v>
      </c>
      <c r="L463" t="s">
        <v>44</v>
      </c>
      <c r="M463" t="s">
        <v>24</v>
      </c>
      <c r="N463">
        <v>6000</v>
      </c>
      <c r="O463">
        <v>600</v>
      </c>
      <c r="P463">
        <v>5400</v>
      </c>
      <c r="Q463">
        <f t="shared" si="21"/>
        <v>2025</v>
      </c>
      <c r="R463">
        <f t="shared" si="22"/>
        <v>12</v>
      </c>
      <c r="S463" t="str">
        <f t="shared" si="23"/>
        <v>December</v>
      </c>
    </row>
    <row r="464" spans="1:19">
      <c r="A464" t="s">
        <v>661</v>
      </c>
      <c r="B464" s="2">
        <v>46001</v>
      </c>
      <c r="C464" t="s">
        <v>252</v>
      </c>
      <c r="D464" t="s">
        <v>89</v>
      </c>
      <c r="E464" t="s">
        <v>37</v>
      </c>
      <c r="F464" t="s">
        <v>43</v>
      </c>
      <c r="G464" t="s">
        <v>71</v>
      </c>
      <c r="H464" t="s">
        <v>128</v>
      </c>
      <c r="I464">
        <v>5</v>
      </c>
      <c r="J464">
        <v>1800</v>
      </c>
      <c r="K464">
        <v>0</v>
      </c>
      <c r="L464" t="s">
        <v>23</v>
      </c>
      <c r="M464" t="s">
        <v>33</v>
      </c>
      <c r="N464">
        <v>9000</v>
      </c>
      <c r="O464">
        <v>0</v>
      </c>
      <c r="P464">
        <v>9000</v>
      </c>
      <c r="Q464">
        <f t="shared" si="21"/>
        <v>2025</v>
      </c>
      <c r="R464">
        <f t="shared" si="22"/>
        <v>12</v>
      </c>
      <c r="S464" t="str">
        <f t="shared" si="23"/>
        <v>December</v>
      </c>
    </row>
    <row r="465" spans="1:19">
      <c r="A465" t="s">
        <v>662</v>
      </c>
      <c r="B465" s="2">
        <v>46002</v>
      </c>
      <c r="C465" t="s">
        <v>208</v>
      </c>
      <c r="D465" t="s">
        <v>106</v>
      </c>
      <c r="E465" t="s">
        <v>37</v>
      </c>
      <c r="F465" t="s">
        <v>166</v>
      </c>
      <c r="G465" t="s">
        <v>71</v>
      </c>
      <c r="H465" t="s">
        <v>128</v>
      </c>
      <c r="I465">
        <v>5</v>
      </c>
      <c r="J465">
        <v>15000</v>
      </c>
      <c r="K465">
        <v>0.05</v>
      </c>
      <c r="L465" t="s">
        <v>32</v>
      </c>
      <c r="M465" t="s">
        <v>33</v>
      </c>
      <c r="N465">
        <v>75000</v>
      </c>
      <c r="O465">
        <v>3750</v>
      </c>
      <c r="P465">
        <v>71250</v>
      </c>
      <c r="Q465">
        <f t="shared" si="21"/>
        <v>2025</v>
      </c>
      <c r="R465">
        <f t="shared" si="22"/>
        <v>12</v>
      </c>
      <c r="S465" t="str">
        <f t="shared" si="23"/>
        <v>December</v>
      </c>
    </row>
    <row r="466" spans="1:19">
      <c r="A466" t="s">
        <v>663</v>
      </c>
      <c r="B466" s="2">
        <v>46003</v>
      </c>
      <c r="C466" t="s">
        <v>315</v>
      </c>
      <c r="D466" t="s">
        <v>42</v>
      </c>
      <c r="E466" t="s">
        <v>19</v>
      </c>
      <c r="F466" t="s">
        <v>20</v>
      </c>
      <c r="G466" t="s">
        <v>30</v>
      </c>
      <c r="H466" t="s">
        <v>49</v>
      </c>
      <c r="I466">
        <v>3</v>
      </c>
      <c r="J466">
        <v>9000</v>
      </c>
      <c r="K466">
        <v>0.05</v>
      </c>
      <c r="L466" t="s">
        <v>32</v>
      </c>
      <c r="M466" t="s">
        <v>33</v>
      </c>
      <c r="N466">
        <v>27000</v>
      </c>
      <c r="O466">
        <v>1350</v>
      </c>
      <c r="P466">
        <v>25650</v>
      </c>
      <c r="Q466">
        <f t="shared" si="21"/>
        <v>2025</v>
      </c>
      <c r="R466">
        <f t="shared" si="22"/>
        <v>12</v>
      </c>
      <c r="S466" t="str">
        <f t="shared" si="23"/>
        <v>December</v>
      </c>
    </row>
    <row r="467" spans="1:19">
      <c r="A467" t="s">
        <v>664</v>
      </c>
      <c r="B467" s="2">
        <v>46003</v>
      </c>
      <c r="C467" t="s">
        <v>305</v>
      </c>
      <c r="D467" t="s">
        <v>81</v>
      </c>
      <c r="E467" t="s">
        <v>37</v>
      </c>
      <c r="F467" t="s">
        <v>43</v>
      </c>
      <c r="G467" t="s">
        <v>30</v>
      </c>
      <c r="H467" t="s">
        <v>49</v>
      </c>
      <c r="I467">
        <v>2</v>
      </c>
      <c r="J467">
        <v>1800</v>
      </c>
      <c r="K467">
        <v>0.05</v>
      </c>
      <c r="L467" t="s">
        <v>23</v>
      </c>
      <c r="M467" t="s">
        <v>51</v>
      </c>
      <c r="N467">
        <v>3600</v>
      </c>
      <c r="O467">
        <v>180</v>
      </c>
      <c r="P467">
        <v>3420</v>
      </c>
      <c r="Q467">
        <f t="shared" si="21"/>
        <v>2025</v>
      </c>
      <c r="R467">
        <f t="shared" si="22"/>
        <v>12</v>
      </c>
      <c r="S467" t="str">
        <f t="shared" si="23"/>
        <v>December</v>
      </c>
    </row>
    <row r="468" spans="1:19">
      <c r="A468" t="s">
        <v>665</v>
      </c>
      <c r="B468" s="2">
        <v>46003</v>
      </c>
      <c r="C468" t="s">
        <v>275</v>
      </c>
      <c r="D468" t="s">
        <v>228</v>
      </c>
      <c r="E468" t="s">
        <v>55</v>
      </c>
      <c r="F468" t="s">
        <v>154</v>
      </c>
      <c r="G468" t="s">
        <v>30</v>
      </c>
      <c r="H468" t="s">
        <v>49</v>
      </c>
      <c r="I468">
        <v>3</v>
      </c>
      <c r="J468">
        <v>9500</v>
      </c>
      <c r="K468">
        <v>0.05</v>
      </c>
      <c r="L468" t="s">
        <v>23</v>
      </c>
      <c r="M468" t="s">
        <v>33</v>
      </c>
      <c r="N468">
        <v>28500</v>
      </c>
      <c r="O468">
        <v>1425</v>
      </c>
      <c r="P468">
        <v>27075</v>
      </c>
      <c r="Q468">
        <f t="shared" si="21"/>
        <v>2025</v>
      </c>
      <c r="R468">
        <f t="shared" si="22"/>
        <v>12</v>
      </c>
      <c r="S468" t="str">
        <f t="shared" si="23"/>
        <v>December</v>
      </c>
    </row>
    <row r="469" spans="1:19">
      <c r="A469" t="s">
        <v>666</v>
      </c>
      <c r="B469" s="2">
        <v>46003</v>
      </c>
      <c r="C469" t="s">
        <v>269</v>
      </c>
      <c r="D469" t="s">
        <v>36</v>
      </c>
      <c r="E469" t="s">
        <v>37</v>
      </c>
      <c r="F469" t="s">
        <v>196</v>
      </c>
      <c r="G469" t="s">
        <v>71</v>
      </c>
      <c r="H469" t="s">
        <v>99</v>
      </c>
      <c r="I469">
        <v>1</v>
      </c>
      <c r="J469">
        <v>2500</v>
      </c>
      <c r="K469">
        <v>0.05</v>
      </c>
      <c r="L469" t="s">
        <v>44</v>
      </c>
      <c r="M469" t="s">
        <v>33</v>
      </c>
      <c r="N469">
        <v>2500</v>
      </c>
      <c r="O469">
        <v>125</v>
      </c>
      <c r="P469">
        <v>2375</v>
      </c>
      <c r="Q469">
        <f t="shared" si="21"/>
        <v>2025</v>
      </c>
      <c r="R469">
        <f t="shared" si="22"/>
        <v>12</v>
      </c>
      <c r="S469" t="str">
        <f t="shared" si="23"/>
        <v>December</v>
      </c>
    </row>
    <row r="470" spans="1:19">
      <c r="A470" t="s">
        <v>667</v>
      </c>
      <c r="B470" s="2">
        <v>46003</v>
      </c>
      <c r="C470" t="s">
        <v>315</v>
      </c>
      <c r="D470" t="s">
        <v>27</v>
      </c>
      <c r="E470" t="s">
        <v>55</v>
      </c>
      <c r="F470" t="s">
        <v>150</v>
      </c>
      <c r="G470" t="s">
        <v>57</v>
      </c>
      <c r="H470" t="s">
        <v>97</v>
      </c>
      <c r="I470">
        <v>1</v>
      </c>
      <c r="J470">
        <v>4500</v>
      </c>
      <c r="K470">
        <v>0</v>
      </c>
      <c r="L470" t="s">
        <v>50</v>
      </c>
      <c r="M470" t="s">
        <v>24</v>
      </c>
      <c r="N470">
        <v>4500</v>
      </c>
      <c r="O470">
        <v>0</v>
      </c>
      <c r="P470">
        <v>4500</v>
      </c>
      <c r="Q470">
        <f t="shared" si="21"/>
        <v>2025</v>
      </c>
      <c r="R470">
        <f t="shared" si="22"/>
        <v>12</v>
      </c>
      <c r="S470" t="str">
        <f t="shared" si="23"/>
        <v>December</v>
      </c>
    </row>
    <row r="471" spans="1:19">
      <c r="A471" t="s">
        <v>668</v>
      </c>
      <c r="B471" s="2">
        <v>46004</v>
      </c>
      <c r="C471" t="s">
        <v>141</v>
      </c>
      <c r="D471" t="s">
        <v>89</v>
      </c>
      <c r="E471" t="s">
        <v>19</v>
      </c>
      <c r="F471" t="s">
        <v>20</v>
      </c>
      <c r="G471" t="s">
        <v>71</v>
      </c>
      <c r="H471" t="s">
        <v>128</v>
      </c>
      <c r="I471">
        <v>2</v>
      </c>
      <c r="J471">
        <v>9000</v>
      </c>
      <c r="K471">
        <v>0.05</v>
      </c>
      <c r="L471" t="s">
        <v>50</v>
      </c>
      <c r="M471" t="s">
        <v>51</v>
      </c>
      <c r="N471">
        <v>18000</v>
      </c>
      <c r="O471">
        <v>900</v>
      </c>
      <c r="P471">
        <v>17100</v>
      </c>
      <c r="Q471">
        <f t="shared" si="21"/>
        <v>2025</v>
      </c>
      <c r="R471">
        <f t="shared" si="22"/>
        <v>12</v>
      </c>
      <c r="S471" t="str">
        <f t="shared" si="23"/>
        <v>December</v>
      </c>
    </row>
    <row r="472" spans="1:19">
      <c r="A472" t="s">
        <v>669</v>
      </c>
      <c r="B472" s="2">
        <v>46004</v>
      </c>
      <c r="C472" t="s">
        <v>175</v>
      </c>
      <c r="D472" t="s">
        <v>123</v>
      </c>
      <c r="E472" t="s">
        <v>55</v>
      </c>
      <c r="F472" t="s">
        <v>213</v>
      </c>
      <c r="G472" t="s">
        <v>57</v>
      </c>
      <c r="H472" t="s">
        <v>75</v>
      </c>
      <c r="I472">
        <v>5</v>
      </c>
      <c r="J472">
        <v>8500</v>
      </c>
      <c r="K472">
        <v>0</v>
      </c>
      <c r="L472" t="s">
        <v>44</v>
      </c>
      <c r="M472" t="s">
        <v>24</v>
      </c>
      <c r="N472">
        <v>42500</v>
      </c>
      <c r="O472">
        <v>0</v>
      </c>
      <c r="P472">
        <v>42500</v>
      </c>
      <c r="Q472">
        <f t="shared" si="21"/>
        <v>2025</v>
      </c>
      <c r="R472">
        <f t="shared" si="22"/>
        <v>12</v>
      </c>
      <c r="S472" t="str">
        <f t="shared" si="23"/>
        <v>December</v>
      </c>
    </row>
    <row r="473" spans="1:19">
      <c r="A473" t="s">
        <v>670</v>
      </c>
      <c r="B473" s="2">
        <v>46005</v>
      </c>
      <c r="C473" t="s">
        <v>93</v>
      </c>
      <c r="D473" t="s">
        <v>18</v>
      </c>
      <c r="E473" t="s">
        <v>62</v>
      </c>
      <c r="F473" t="s">
        <v>293</v>
      </c>
      <c r="G473" t="s">
        <v>21</v>
      </c>
      <c r="H473" t="s">
        <v>83</v>
      </c>
      <c r="I473">
        <v>3</v>
      </c>
      <c r="J473">
        <v>500</v>
      </c>
      <c r="K473">
        <v>0</v>
      </c>
      <c r="L473" t="s">
        <v>44</v>
      </c>
      <c r="M473" t="s">
        <v>91</v>
      </c>
      <c r="N473">
        <v>1500</v>
      </c>
      <c r="O473">
        <v>0</v>
      </c>
      <c r="P473">
        <v>1500</v>
      </c>
      <c r="Q473">
        <f t="shared" si="21"/>
        <v>2025</v>
      </c>
      <c r="R473">
        <f t="shared" si="22"/>
        <v>12</v>
      </c>
      <c r="S473" t="str">
        <f t="shared" si="23"/>
        <v>December</v>
      </c>
    </row>
    <row r="474" spans="1:19">
      <c r="A474" t="s">
        <v>671</v>
      </c>
      <c r="B474" s="2">
        <v>46005</v>
      </c>
      <c r="C474" t="s">
        <v>315</v>
      </c>
      <c r="D474" t="s">
        <v>135</v>
      </c>
      <c r="E474" t="s">
        <v>62</v>
      </c>
      <c r="F474" t="s">
        <v>293</v>
      </c>
      <c r="G474" t="s">
        <v>21</v>
      </c>
      <c r="H474" t="s">
        <v>22</v>
      </c>
      <c r="I474">
        <v>5</v>
      </c>
      <c r="J474">
        <v>500</v>
      </c>
      <c r="K474">
        <v>0</v>
      </c>
      <c r="L474" t="s">
        <v>44</v>
      </c>
      <c r="M474" t="s">
        <v>51</v>
      </c>
      <c r="N474">
        <v>2500</v>
      </c>
      <c r="O474">
        <v>0</v>
      </c>
      <c r="P474">
        <v>2500</v>
      </c>
      <c r="Q474">
        <f t="shared" si="21"/>
        <v>2025</v>
      </c>
      <c r="R474">
        <f t="shared" si="22"/>
        <v>12</v>
      </c>
      <c r="S474" t="str">
        <f t="shared" si="23"/>
        <v>December</v>
      </c>
    </row>
    <row r="475" spans="1:19">
      <c r="A475" t="s">
        <v>672</v>
      </c>
      <c r="B475" s="2">
        <v>46006</v>
      </c>
      <c r="C475" t="s">
        <v>345</v>
      </c>
      <c r="D475" t="s">
        <v>69</v>
      </c>
      <c r="E475" t="s">
        <v>28</v>
      </c>
      <c r="F475" t="s">
        <v>130</v>
      </c>
      <c r="G475" t="s">
        <v>21</v>
      </c>
      <c r="H475" t="s">
        <v>185</v>
      </c>
      <c r="I475">
        <v>1</v>
      </c>
      <c r="J475">
        <v>2200</v>
      </c>
      <c r="K475">
        <v>0.1</v>
      </c>
      <c r="L475" t="s">
        <v>44</v>
      </c>
      <c r="M475" t="s">
        <v>91</v>
      </c>
      <c r="N475">
        <v>2200</v>
      </c>
      <c r="O475">
        <v>220</v>
      </c>
      <c r="P475">
        <v>1980</v>
      </c>
      <c r="Q475">
        <f t="shared" si="21"/>
        <v>2025</v>
      </c>
      <c r="R475">
        <f t="shared" si="22"/>
        <v>12</v>
      </c>
      <c r="S475" t="str">
        <f t="shared" si="23"/>
        <v>December</v>
      </c>
    </row>
    <row r="476" spans="1:19">
      <c r="A476" t="s">
        <v>673</v>
      </c>
      <c r="B476" s="2">
        <v>46006</v>
      </c>
      <c r="C476" t="s">
        <v>388</v>
      </c>
      <c r="D476" t="s">
        <v>106</v>
      </c>
      <c r="E476" t="s">
        <v>37</v>
      </c>
      <c r="F476" t="s">
        <v>166</v>
      </c>
      <c r="G476" t="s">
        <v>57</v>
      </c>
      <c r="H476" t="s">
        <v>142</v>
      </c>
      <c r="I476">
        <v>4</v>
      </c>
      <c r="J476">
        <v>15000</v>
      </c>
      <c r="K476">
        <v>0</v>
      </c>
      <c r="L476" t="s">
        <v>32</v>
      </c>
      <c r="M476" t="s">
        <v>39</v>
      </c>
      <c r="N476">
        <v>60000</v>
      </c>
      <c r="O476">
        <v>0</v>
      </c>
      <c r="P476">
        <v>60000</v>
      </c>
      <c r="Q476">
        <f t="shared" si="21"/>
        <v>2025</v>
      </c>
      <c r="R476">
        <f t="shared" si="22"/>
        <v>12</v>
      </c>
      <c r="S476" t="str">
        <f t="shared" si="23"/>
        <v>December</v>
      </c>
    </row>
    <row r="477" spans="1:19">
      <c r="A477" t="s">
        <v>674</v>
      </c>
      <c r="B477" s="2">
        <v>46006</v>
      </c>
      <c r="C477" t="s">
        <v>388</v>
      </c>
      <c r="D477" t="s">
        <v>61</v>
      </c>
      <c r="E477" t="s">
        <v>55</v>
      </c>
      <c r="F477" t="s">
        <v>154</v>
      </c>
      <c r="G477" t="s">
        <v>57</v>
      </c>
      <c r="H477" t="s">
        <v>97</v>
      </c>
      <c r="I477">
        <v>2</v>
      </c>
      <c r="J477">
        <v>9500</v>
      </c>
      <c r="K477">
        <v>0.1</v>
      </c>
      <c r="L477" t="s">
        <v>23</v>
      </c>
      <c r="M477" t="s">
        <v>112</v>
      </c>
      <c r="N477">
        <v>19000</v>
      </c>
      <c r="O477">
        <v>1900</v>
      </c>
      <c r="P477">
        <v>17100</v>
      </c>
      <c r="Q477">
        <f t="shared" si="21"/>
        <v>2025</v>
      </c>
      <c r="R477">
        <f t="shared" si="22"/>
        <v>12</v>
      </c>
      <c r="S477" t="str">
        <f t="shared" si="23"/>
        <v>December</v>
      </c>
    </row>
    <row r="478" spans="1:19">
      <c r="A478" t="s">
        <v>675</v>
      </c>
      <c r="B478" s="2">
        <v>46006</v>
      </c>
      <c r="C478" t="s">
        <v>297</v>
      </c>
      <c r="D478" t="s">
        <v>27</v>
      </c>
      <c r="E478" t="s">
        <v>28</v>
      </c>
      <c r="F478" t="s">
        <v>29</v>
      </c>
      <c r="G478" t="s">
        <v>30</v>
      </c>
      <c r="H478" t="s">
        <v>125</v>
      </c>
      <c r="I478">
        <v>4</v>
      </c>
      <c r="J478">
        <v>4000</v>
      </c>
      <c r="K478">
        <v>0.1</v>
      </c>
      <c r="L478" t="s">
        <v>32</v>
      </c>
      <c r="M478" t="s">
        <v>107</v>
      </c>
      <c r="N478">
        <v>16000</v>
      </c>
      <c r="O478">
        <v>1600</v>
      </c>
      <c r="P478">
        <v>14400</v>
      </c>
      <c r="Q478">
        <f t="shared" si="21"/>
        <v>2025</v>
      </c>
      <c r="R478">
        <f t="shared" si="22"/>
        <v>12</v>
      </c>
      <c r="S478" t="str">
        <f t="shared" si="23"/>
        <v>December</v>
      </c>
    </row>
    <row r="479" spans="1:19">
      <c r="A479" t="s">
        <v>676</v>
      </c>
      <c r="B479" s="2">
        <v>46007</v>
      </c>
      <c r="C479" t="s">
        <v>85</v>
      </c>
      <c r="D479" t="s">
        <v>36</v>
      </c>
      <c r="E479" t="s">
        <v>28</v>
      </c>
      <c r="F479" t="s">
        <v>66</v>
      </c>
      <c r="G479" t="s">
        <v>57</v>
      </c>
      <c r="H479" t="s">
        <v>97</v>
      </c>
      <c r="I479">
        <v>5</v>
      </c>
      <c r="J479">
        <v>900</v>
      </c>
      <c r="K479">
        <v>0.1</v>
      </c>
      <c r="L479" t="s">
        <v>50</v>
      </c>
      <c r="M479" t="s">
        <v>33</v>
      </c>
      <c r="N479">
        <v>4500</v>
      </c>
      <c r="O479">
        <v>450</v>
      </c>
      <c r="P479">
        <v>4050</v>
      </c>
      <c r="Q479">
        <f t="shared" si="21"/>
        <v>2025</v>
      </c>
      <c r="R479">
        <f t="shared" si="22"/>
        <v>12</v>
      </c>
      <c r="S479" t="str">
        <f t="shared" si="23"/>
        <v>December</v>
      </c>
    </row>
    <row r="480" spans="1:19">
      <c r="A480" t="s">
        <v>677</v>
      </c>
      <c r="B480" s="2">
        <v>46008</v>
      </c>
      <c r="C480" t="s">
        <v>88</v>
      </c>
      <c r="D480" t="s">
        <v>153</v>
      </c>
      <c r="E480" t="s">
        <v>37</v>
      </c>
      <c r="F480" t="s">
        <v>38</v>
      </c>
      <c r="G480" t="s">
        <v>30</v>
      </c>
      <c r="H480" t="s">
        <v>49</v>
      </c>
      <c r="I480">
        <v>4</v>
      </c>
      <c r="J480">
        <v>55000</v>
      </c>
      <c r="K480">
        <v>0.1</v>
      </c>
      <c r="L480" t="s">
        <v>50</v>
      </c>
      <c r="M480" t="s">
        <v>33</v>
      </c>
      <c r="N480">
        <v>220000</v>
      </c>
      <c r="O480">
        <v>22000</v>
      </c>
      <c r="P480">
        <v>198000</v>
      </c>
      <c r="Q480">
        <f t="shared" si="21"/>
        <v>2025</v>
      </c>
      <c r="R480">
        <f t="shared" si="22"/>
        <v>12</v>
      </c>
      <c r="S480" t="str">
        <f t="shared" si="23"/>
        <v>December</v>
      </c>
    </row>
    <row r="481" spans="1:19">
      <c r="A481" t="s">
        <v>678</v>
      </c>
      <c r="B481" s="2">
        <v>46009</v>
      </c>
      <c r="C481" t="s">
        <v>80</v>
      </c>
      <c r="D481" t="s">
        <v>54</v>
      </c>
      <c r="E481" t="s">
        <v>55</v>
      </c>
      <c r="F481" t="s">
        <v>56</v>
      </c>
      <c r="G481" t="s">
        <v>57</v>
      </c>
      <c r="H481" t="s">
        <v>58</v>
      </c>
      <c r="I481">
        <v>5</v>
      </c>
      <c r="J481">
        <v>12000</v>
      </c>
      <c r="K481">
        <v>0</v>
      </c>
      <c r="L481" t="s">
        <v>44</v>
      </c>
      <c r="M481" t="s">
        <v>33</v>
      </c>
      <c r="N481">
        <v>60000</v>
      </c>
      <c r="O481">
        <v>0</v>
      </c>
      <c r="P481">
        <v>60000</v>
      </c>
      <c r="Q481">
        <f t="shared" si="21"/>
        <v>2025</v>
      </c>
      <c r="R481">
        <f t="shared" si="22"/>
        <v>12</v>
      </c>
      <c r="S481" t="str">
        <f t="shared" si="23"/>
        <v>December</v>
      </c>
    </row>
    <row r="482" spans="1:19">
      <c r="A482" t="s">
        <v>679</v>
      </c>
      <c r="B482" s="2">
        <v>46009</v>
      </c>
      <c r="C482" t="s">
        <v>203</v>
      </c>
      <c r="D482" t="s">
        <v>86</v>
      </c>
      <c r="E482" t="s">
        <v>19</v>
      </c>
      <c r="F482" t="s">
        <v>20</v>
      </c>
      <c r="G482" t="s">
        <v>57</v>
      </c>
      <c r="H482" t="s">
        <v>97</v>
      </c>
      <c r="I482">
        <v>5</v>
      </c>
      <c r="J482">
        <v>9000</v>
      </c>
      <c r="K482">
        <v>0.1</v>
      </c>
      <c r="L482" t="s">
        <v>44</v>
      </c>
      <c r="M482" t="s">
        <v>112</v>
      </c>
      <c r="N482">
        <v>45000</v>
      </c>
      <c r="O482">
        <v>4500</v>
      </c>
      <c r="P482">
        <v>40500</v>
      </c>
      <c r="Q482">
        <f t="shared" si="21"/>
        <v>2025</v>
      </c>
      <c r="R482">
        <f t="shared" si="22"/>
        <v>12</v>
      </c>
      <c r="S482" t="str">
        <f t="shared" si="23"/>
        <v>December</v>
      </c>
    </row>
    <row r="483" spans="1:19">
      <c r="A483" t="s">
        <v>680</v>
      </c>
      <c r="B483" s="2">
        <v>46010</v>
      </c>
      <c r="C483" t="s">
        <v>147</v>
      </c>
      <c r="D483" t="s">
        <v>86</v>
      </c>
      <c r="E483" t="s">
        <v>28</v>
      </c>
      <c r="F483" t="s">
        <v>66</v>
      </c>
      <c r="G483" t="s">
        <v>21</v>
      </c>
      <c r="H483" t="s">
        <v>22</v>
      </c>
      <c r="I483">
        <v>3</v>
      </c>
      <c r="J483">
        <v>900</v>
      </c>
      <c r="K483">
        <v>0.05</v>
      </c>
      <c r="L483" t="s">
        <v>32</v>
      </c>
      <c r="M483" t="s">
        <v>112</v>
      </c>
      <c r="N483">
        <v>2700</v>
      </c>
      <c r="O483">
        <v>135</v>
      </c>
      <c r="P483">
        <v>2565</v>
      </c>
      <c r="Q483">
        <f t="shared" si="21"/>
        <v>2025</v>
      </c>
      <c r="R483">
        <f t="shared" si="22"/>
        <v>12</v>
      </c>
      <c r="S483" t="str">
        <f t="shared" si="23"/>
        <v>December</v>
      </c>
    </row>
    <row r="484" spans="1:19">
      <c r="A484" t="s">
        <v>681</v>
      </c>
      <c r="B484" s="2">
        <v>46011</v>
      </c>
      <c r="C484" t="s">
        <v>160</v>
      </c>
      <c r="D484" t="s">
        <v>27</v>
      </c>
      <c r="E484" t="s">
        <v>19</v>
      </c>
      <c r="F484" t="s">
        <v>124</v>
      </c>
      <c r="G484" t="s">
        <v>71</v>
      </c>
      <c r="H484" t="s">
        <v>99</v>
      </c>
      <c r="I484">
        <v>2</v>
      </c>
      <c r="J484">
        <v>7000</v>
      </c>
      <c r="K484">
        <v>0.05</v>
      </c>
      <c r="L484" t="s">
        <v>44</v>
      </c>
      <c r="M484" t="s">
        <v>33</v>
      </c>
      <c r="N484">
        <v>14000</v>
      </c>
      <c r="O484">
        <v>700</v>
      </c>
      <c r="P484">
        <v>13300</v>
      </c>
      <c r="Q484">
        <f t="shared" si="21"/>
        <v>2025</v>
      </c>
      <c r="R484">
        <f t="shared" si="22"/>
        <v>12</v>
      </c>
      <c r="S484" t="str">
        <f t="shared" si="23"/>
        <v>December</v>
      </c>
    </row>
    <row r="485" spans="1:19">
      <c r="A485" t="s">
        <v>682</v>
      </c>
      <c r="B485" s="2">
        <v>46012</v>
      </c>
      <c r="C485" t="s">
        <v>152</v>
      </c>
      <c r="D485" t="s">
        <v>36</v>
      </c>
      <c r="E485" t="s">
        <v>19</v>
      </c>
      <c r="F485" t="s">
        <v>70</v>
      </c>
      <c r="G485" t="s">
        <v>21</v>
      </c>
      <c r="H485" t="s">
        <v>181</v>
      </c>
      <c r="I485">
        <v>5</v>
      </c>
      <c r="J485">
        <v>6500</v>
      </c>
      <c r="K485">
        <v>0.1</v>
      </c>
      <c r="L485" t="s">
        <v>32</v>
      </c>
      <c r="M485" t="s">
        <v>24</v>
      </c>
      <c r="N485">
        <v>32500</v>
      </c>
      <c r="O485">
        <v>3250</v>
      </c>
      <c r="P485">
        <v>29250</v>
      </c>
      <c r="Q485">
        <f t="shared" si="21"/>
        <v>2025</v>
      </c>
      <c r="R485">
        <f t="shared" si="22"/>
        <v>12</v>
      </c>
      <c r="S485" t="str">
        <f t="shared" si="23"/>
        <v>December</v>
      </c>
    </row>
    <row r="486" spans="1:19">
      <c r="A486" t="s">
        <v>683</v>
      </c>
      <c r="B486" s="2">
        <v>46012</v>
      </c>
      <c r="C486" t="s">
        <v>198</v>
      </c>
      <c r="D486" t="s">
        <v>86</v>
      </c>
      <c r="E486" t="s">
        <v>19</v>
      </c>
      <c r="F486" t="s">
        <v>48</v>
      </c>
      <c r="G486" t="s">
        <v>57</v>
      </c>
      <c r="H486" t="s">
        <v>58</v>
      </c>
      <c r="I486">
        <v>4</v>
      </c>
      <c r="J486">
        <v>7500</v>
      </c>
      <c r="K486">
        <v>0</v>
      </c>
      <c r="L486" t="s">
        <v>44</v>
      </c>
      <c r="M486" t="s">
        <v>45</v>
      </c>
      <c r="N486">
        <v>30000</v>
      </c>
      <c r="O486">
        <v>0</v>
      </c>
      <c r="P486">
        <v>30000</v>
      </c>
      <c r="Q486">
        <f t="shared" si="21"/>
        <v>2025</v>
      </c>
      <c r="R486">
        <f t="shared" si="22"/>
        <v>12</v>
      </c>
      <c r="S486" t="str">
        <f t="shared" si="23"/>
        <v>December</v>
      </c>
    </row>
    <row r="487" spans="1:19">
      <c r="A487" t="s">
        <v>684</v>
      </c>
      <c r="B487" s="2">
        <v>46013</v>
      </c>
      <c r="C487" t="s">
        <v>101</v>
      </c>
      <c r="D487" t="s">
        <v>18</v>
      </c>
      <c r="E487" t="s">
        <v>37</v>
      </c>
      <c r="F487" t="s">
        <v>166</v>
      </c>
      <c r="G487" t="s">
        <v>21</v>
      </c>
      <c r="H487" t="s">
        <v>181</v>
      </c>
      <c r="I487">
        <v>3</v>
      </c>
      <c r="J487">
        <v>15000</v>
      </c>
      <c r="K487">
        <v>0.1</v>
      </c>
      <c r="L487" t="s">
        <v>23</v>
      </c>
      <c r="M487" t="s">
        <v>112</v>
      </c>
      <c r="N487">
        <v>45000</v>
      </c>
      <c r="O487">
        <v>4500</v>
      </c>
      <c r="P487">
        <v>40500</v>
      </c>
      <c r="Q487">
        <f t="shared" si="21"/>
        <v>2025</v>
      </c>
      <c r="R487">
        <f t="shared" si="22"/>
        <v>12</v>
      </c>
      <c r="S487" t="str">
        <f t="shared" si="23"/>
        <v>December</v>
      </c>
    </row>
    <row r="488" spans="1:19">
      <c r="A488" t="s">
        <v>685</v>
      </c>
      <c r="B488" s="2">
        <v>46014</v>
      </c>
      <c r="C488" t="s">
        <v>629</v>
      </c>
      <c r="D488" t="s">
        <v>115</v>
      </c>
      <c r="E488" t="s">
        <v>28</v>
      </c>
      <c r="F488" t="s">
        <v>82</v>
      </c>
      <c r="G488" t="s">
        <v>21</v>
      </c>
      <c r="H488" t="s">
        <v>22</v>
      </c>
      <c r="I488">
        <v>1</v>
      </c>
      <c r="J488">
        <v>3500</v>
      </c>
      <c r="K488">
        <v>0.05</v>
      </c>
      <c r="L488" t="s">
        <v>23</v>
      </c>
      <c r="M488" t="s">
        <v>91</v>
      </c>
      <c r="N488">
        <v>3500</v>
      </c>
      <c r="O488">
        <v>175</v>
      </c>
      <c r="P488">
        <v>3325</v>
      </c>
      <c r="Q488">
        <f t="shared" si="21"/>
        <v>2025</v>
      </c>
      <c r="R488">
        <f t="shared" si="22"/>
        <v>12</v>
      </c>
      <c r="S488" t="str">
        <f t="shared" si="23"/>
        <v>December</v>
      </c>
    </row>
    <row r="489" spans="1:19">
      <c r="A489" t="s">
        <v>686</v>
      </c>
      <c r="B489" s="2">
        <v>46014</v>
      </c>
      <c r="C489" t="s">
        <v>333</v>
      </c>
      <c r="D489" t="s">
        <v>102</v>
      </c>
      <c r="E489" t="s">
        <v>19</v>
      </c>
      <c r="F489" t="s">
        <v>139</v>
      </c>
      <c r="G489" t="s">
        <v>57</v>
      </c>
      <c r="H489" t="s">
        <v>142</v>
      </c>
      <c r="I489">
        <v>1</v>
      </c>
      <c r="J489">
        <v>6000</v>
      </c>
      <c r="K489">
        <v>0</v>
      </c>
      <c r="L489" t="s">
        <v>50</v>
      </c>
      <c r="M489" t="s">
        <v>107</v>
      </c>
      <c r="N489">
        <v>6000</v>
      </c>
      <c r="O489">
        <v>0</v>
      </c>
      <c r="P489">
        <v>6000</v>
      </c>
      <c r="Q489">
        <f t="shared" si="21"/>
        <v>2025</v>
      </c>
      <c r="R489">
        <f t="shared" si="22"/>
        <v>12</v>
      </c>
      <c r="S489" t="str">
        <f t="shared" si="23"/>
        <v>December</v>
      </c>
    </row>
    <row r="490" spans="1:19">
      <c r="A490" t="s">
        <v>687</v>
      </c>
      <c r="B490" s="2">
        <v>46015</v>
      </c>
      <c r="C490" t="s">
        <v>325</v>
      </c>
      <c r="D490" t="s">
        <v>123</v>
      </c>
      <c r="E490" t="s">
        <v>19</v>
      </c>
      <c r="F490" t="s">
        <v>20</v>
      </c>
      <c r="G490" t="s">
        <v>57</v>
      </c>
      <c r="H490" t="s">
        <v>142</v>
      </c>
      <c r="I490">
        <v>4</v>
      </c>
      <c r="J490">
        <v>9000</v>
      </c>
      <c r="K490">
        <v>0.05</v>
      </c>
      <c r="L490" t="s">
        <v>23</v>
      </c>
      <c r="M490" t="s">
        <v>45</v>
      </c>
      <c r="N490">
        <v>36000</v>
      </c>
      <c r="O490">
        <v>1800</v>
      </c>
      <c r="P490">
        <v>34200</v>
      </c>
      <c r="Q490">
        <f t="shared" si="21"/>
        <v>2025</v>
      </c>
      <c r="R490">
        <f t="shared" si="22"/>
        <v>12</v>
      </c>
      <c r="S490" t="str">
        <f t="shared" si="23"/>
        <v>December</v>
      </c>
    </row>
    <row r="491" spans="1:19">
      <c r="A491" t="s">
        <v>688</v>
      </c>
      <c r="B491" s="2">
        <v>46015</v>
      </c>
      <c r="C491" t="s">
        <v>53</v>
      </c>
      <c r="D491" t="s">
        <v>69</v>
      </c>
      <c r="E491" t="s">
        <v>62</v>
      </c>
      <c r="F491" t="s">
        <v>169</v>
      </c>
      <c r="G491" t="s">
        <v>21</v>
      </c>
      <c r="H491" t="s">
        <v>83</v>
      </c>
      <c r="I491">
        <v>5</v>
      </c>
      <c r="J491">
        <v>1200</v>
      </c>
      <c r="K491">
        <v>0.1</v>
      </c>
      <c r="L491" t="s">
        <v>23</v>
      </c>
      <c r="M491" t="s">
        <v>45</v>
      </c>
      <c r="N491">
        <v>6000</v>
      </c>
      <c r="O491">
        <v>600</v>
      </c>
      <c r="P491">
        <v>5400</v>
      </c>
      <c r="Q491">
        <f t="shared" si="21"/>
        <v>2025</v>
      </c>
      <c r="R491">
        <f t="shared" si="22"/>
        <v>12</v>
      </c>
      <c r="S491" t="str">
        <f t="shared" si="23"/>
        <v>December</v>
      </c>
    </row>
    <row r="492" spans="1:19">
      <c r="A492" t="s">
        <v>689</v>
      </c>
      <c r="B492" s="2">
        <v>46017</v>
      </c>
      <c r="C492" t="s">
        <v>575</v>
      </c>
      <c r="D492" t="s">
        <v>120</v>
      </c>
      <c r="E492" t="s">
        <v>62</v>
      </c>
      <c r="F492" t="s">
        <v>169</v>
      </c>
      <c r="G492" t="s">
        <v>57</v>
      </c>
      <c r="H492" t="s">
        <v>58</v>
      </c>
      <c r="I492">
        <v>2</v>
      </c>
      <c r="J492">
        <v>1200</v>
      </c>
      <c r="K492">
        <v>0.15</v>
      </c>
      <c r="L492" t="s">
        <v>50</v>
      </c>
      <c r="M492" t="s">
        <v>39</v>
      </c>
      <c r="N492">
        <v>2400</v>
      </c>
      <c r="O492">
        <v>360</v>
      </c>
      <c r="P492">
        <v>2040</v>
      </c>
      <c r="Q492">
        <f t="shared" si="21"/>
        <v>2025</v>
      </c>
      <c r="R492">
        <f t="shared" si="22"/>
        <v>12</v>
      </c>
      <c r="S492" t="str">
        <f t="shared" si="23"/>
        <v>December</v>
      </c>
    </row>
    <row r="493" spans="1:19">
      <c r="A493" t="s">
        <v>690</v>
      </c>
      <c r="B493" s="2">
        <v>46017</v>
      </c>
      <c r="C493" t="s">
        <v>232</v>
      </c>
      <c r="D493" t="s">
        <v>123</v>
      </c>
      <c r="E493" t="s">
        <v>19</v>
      </c>
      <c r="F493" t="s">
        <v>124</v>
      </c>
      <c r="G493" t="s">
        <v>21</v>
      </c>
      <c r="H493" t="s">
        <v>83</v>
      </c>
      <c r="I493">
        <v>5</v>
      </c>
      <c r="J493">
        <v>7000</v>
      </c>
      <c r="K493">
        <v>0.1</v>
      </c>
      <c r="L493" t="s">
        <v>32</v>
      </c>
      <c r="M493" t="s">
        <v>45</v>
      </c>
      <c r="N493">
        <v>35000</v>
      </c>
      <c r="O493">
        <v>3500</v>
      </c>
      <c r="P493">
        <v>31500</v>
      </c>
      <c r="Q493">
        <f t="shared" si="21"/>
        <v>2025</v>
      </c>
      <c r="R493">
        <f t="shared" si="22"/>
        <v>12</v>
      </c>
      <c r="S493" t="str">
        <f t="shared" si="23"/>
        <v>December</v>
      </c>
    </row>
    <row r="494" spans="1:19">
      <c r="A494" t="s">
        <v>691</v>
      </c>
      <c r="B494" s="2">
        <v>46017</v>
      </c>
      <c r="C494" t="s">
        <v>315</v>
      </c>
      <c r="D494" t="s">
        <v>86</v>
      </c>
      <c r="E494" t="s">
        <v>37</v>
      </c>
      <c r="F494" t="s">
        <v>136</v>
      </c>
      <c r="G494" t="s">
        <v>21</v>
      </c>
      <c r="H494" t="s">
        <v>22</v>
      </c>
      <c r="I494">
        <v>4</v>
      </c>
      <c r="J494">
        <v>25000</v>
      </c>
      <c r="K494">
        <v>0</v>
      </c>
      <c r="L494" t="s">
        <v>23</v>
      </c>
      <c r="M494" t="s">
        <v>51</v>
      </c>
      <c r="N494">
        <v>100000</v>
      </c>
      <c r="O494">
        <v>0</v>
      </c>
      <c r="P494">
        <v>100000</v>
      </c>
      <c r="Q494">
        <f t="shared" si="21"/>
        <v>2025</v>
      </c>
      <c r="R494">
        <f t="shared" si="22"/>
        <v>12</v>
      </c>
      <c r="S494" t="str">
        <f t="shared" si="23"/>
        <v>December</v>
      </c>
    </row>
    <row r="495" spans="1:19">
      <c r="A495" t="s">
        <v>692</v>
      </c>
      <c r="B495" s="2">
        <v>46018</v>
      </c>
      <c r="C495" t="s">
        <v>232</v>
      </c>
      <c r="D495" t="s">
        <v>228</v>
      </c>
      <c r="E495" t="s">
        <v>55</v>
      </c>
      <c r="F495" t="s">
        <v>213</v>
      </c>
      <c r="G495" t="s">
        <v>71</v>
      </c>
      <c r="H495" t="s">
        <v>72</v>
      </c>
      <c r="I495">
        <v>4</v>
      </c>
      <c r="J495">
        <v>8500</v>
      </c>
      <c r="K495">
        <v>0.1</v>
      </c>
      <c r="L495" t="s">
        <v>23</v>
      </c>
      <c r="M495" t="s">
        <v>107</v>
      </c>
      <c r="N495">
        <v>34000</v>
      </c>
      <c r="O495">
        <v>3400</v>
      </c>
      <c r="P495">
        <v>30600</v>
      </c>
      <c r="Q495">
        <f t="shared" si="21"/>
        <v>2025</v>
      </c>
      <c r="R495">
        <f t="shared" si="22"/>
        <v>12</v>
      </c>
      <c r="S495" t="str">
        <f t="shared" si="23"/>
        <v>December</v>
      </c>
    </row>
    <row r="496" spans="1:19">
      <c r="A496" t="s">
        <v>693</v>
      </c>
      <c r="B496" s="2">
        <v>46018</v>
      </c>
      <c r="C496" t="s">
        <v>325</v>
      </c>
      <c r="D496" t="s">
        <v>27</v>
      </c>
      <c r="E496" t="s">
        <v>55</v>
      </c>
      <c r="F496" t="s">
        <v>56</v>
      </c>
      <c r="G496" t="s">
        <v>30</v>
      </c>
      <c r="H496" t="s">
        <v>31</v>
      </c>
      <c r="I496">
        <v>5</v>
      </c>
      <c r="J496">
        <v>12000</v>
      </c>
      <c r="K496">
        <v>0.05</v>
      </c>
      <c r="L496" t="s">
        <v>44</v>
      </c>
      <c r="M496" t="s">
        <v>24</v>
      </c>
      <c r="N496">
        <v>60000</v>
      </c>
      <c r="O496">
        <v>3000</v>
      </c>
      <c r="P496">
        <v>57000</v>
      </c>
      <c r="Q496">
        <f t="shared" si="21"/>
        <v>2025</v>
      </c>
      <c r="R496">
        <f t="shared" si="22"/>
        <v>12</v>
      </c>
      <c r="S496" t="str">
        <f t="shared" si="23"/>
        <v>December</v>
      </c>
    </row>
    <row r="497" spans="1:19">
      <c r="A497" t="s">
        <v>694</v>
      </c>
      <c r="B497" s="2">
        <v>46021</v>
      </c>
      <c r="C497" t="s">
        <v>101</v>
      </c>
      <c r="D497" t="s">
        <v>123</v>
      </c>
      <c r="E497" t="s">
        <v>28</v>
      </c>
      <c r="F497" t="s">
        <v>82</v>
      </c>
      <c r="G497" t="s">
        <v>30</v>
      </c>
      <c r="H497" t="s">
        <v>31</v>
      </c>
      <c r="I497">
        <v>2</v>
      </c>
      <c r="J497">
        <v>3500</v>
      </c>
      <c r="K497">
        <v>0.05</v>
      </c>
      <c r="L497" t="s">
        <v>50</v>
      </c>
      <c r="M497" t="s">
        <v>51</v>
      </c>
      <c r="N497">
        <v>7000</v>
      </c>
      <c r="O497">
        <v>350</v>
      </c>
      <c r="P497">
        <v>6650</v>
      </c>
      <c r="Q497">
        <f t="shared" si="21"/>
        <v>2025</v>
      </c>
      <c r="R497">
        <f t="shared" si="22"/>
        <v>12</v>
      </c>
      <c r="S497" t="str">
        <f t="shared" si="23"/>
        <v>December</v>
      </c>
    </row>
    <row r="498" spans="1:19">
      <c r="A498" t="s">
        <v>695</v>
      </c>
      <c r="B498" s="2">
        <v>46021</v>
      </c>
      <c r="C498" t="s">
        <v>160</v>
      </c>
      <c r="D498" t="s">
        <v>18</v>
      </c>
      <c r="E498" t="s">
        <v>55</v>
      </c>
      <c r="F498" t="s">
        <v>154</v>
      </c>
      <c r="G498" t="s">
        <v>57</v>
      </c>
      <c r="H498" t="s">
        <v>75</v>
      </c>
      <c r="I498">
        <v>3</v>
      </c>
      <c r="J498">
        <v>9500</v>
      </c>
      <c r="K498">
        <v>0</v>
      </c>
      <c r="L498" t="s">
        <v>44</v>
      </c>
      <c r="M498" t="s">
        <v>51</v>
      </c>
      <c r="N498">
        <v>28500</v>
      </c>
      <c r="O498">
        <v>0</v>
      </c>
      <c r="P498">
        <v>28500</v>
      </c>
      <c r="Q498">
        <f t="shared" si="21"/>
        <v>2025</v>
      </c>
      <c r="R498">
        <f t="shared" si="22"/>
        <v>12</v>
      </c>
      <c r="S498" t="str">
        <f t="shared" si="23"/>
        <v>December</v>
      </c>
    </row>
    <row r="499" spans="1:19">
      <c r="A499" t="s">
        <v>696</v>
      </c>
      <c r="B499" s="2">
        <v>46022</v>
      </c>
      <c r="C499" t="s">
        <v>260</v>
      </c>
      <c r="D499" t="s">
        <v>86</v>
      </c>
      <c r="E499" t="s">
        <v>55</v>
      </c>
      <c r="F499" t="s">
        <v>150</v>
      </c>
      <c r="G499" t="s">
        <v>57</v>
      </c>
      <c r="H499" t="s">
        <v>75</v>
      </c>
      <c r="I499">
        <v>4</v>
      </c>
      <c r="J499">
        <v>4500</v>
      </c>
      <c r="K499">
        <v>0</v>
      </c>
      <c r="L499" t="s">
        <v>23</v>
      </c>
      <c r="M499" t="s">
        <v>91</v>
      </c>
      <c r="N499">
        <v>18000</v>
      </c>
      <c r="O499">
        <v>0</v>
      </c>
      <c r="P499">
        <v>18000</v>
      </c>
      <c r="Q499">
        <f t="shared" si="21"/>
        <v>2025</v>
      </c>
      <c r="R499">
        <f t="shared" si="22"/>
        <v>12</v>
      </c>
      <c r="S499" t="str">
        <f t="shared" si="23"/>
        <v>December</v>
      </c>
    </row>
    <row r="500" spans="1:19">
      <c r="A500" t="s">
        <v>697</v>
      </c>
      <c r="B500" s="2">
        <v>46022</v>
      </c>
      <c r="C500" t="s">
        <v>101</v>
      </c>
      <c r="D500" t="s">
        <v>228</v>
      </c>
      <c r="E500" t="s">
        <v>37</v>
      </c>
      <c r="F500" t="s">
        <v>43</v>
      </c>
      <c r="G500" t="s">
        <v>71</v>
      </c>
      <c r="H500" t="s">
        <v>99</v>
      </c>
      <c r="I500">
        <v>4</v>
      </c>
      <c r="J500">
        <v>1800</v>
      </c>
      <c r="K500">
        <v>0</v>
      </c>
      <c r="L500" t="s">
        <v>44</v>
      </c>
      <c r="M500" t="s">
        <v>91</v>
      </c>
      <c r="N500">
        <v>7200</v>
      </c>
      <c r="O500">
        <v>0</v>
      </c>
      <c r="P500">
        <v>7200</v>
      </c>
      <c r="Q500">
        <f t="shared" si="21"/>
        <v>2025</v>
      </c>
      <c r="R500">
        <f t="shared" si="22"/>
        <v>12</v>
      </c>
      <c r="S500" t="str">
        <f t="shared" si="23"/>
        <v>December</v>
      </c>
    </row>
    <row r="501" spans="1:19">
      <c r="A501" t="s">
        <v>698</v>
      </c>
      <c r="B501" s="2">
        <v>46022</v>
      </c>
      <c r="C501" t="s">
        <v>372</v>
      </c>
      <c r="D501" t="s">
        <v>123</v>
      </c>
      <c r="E501" t="s">
        <v>62</v>
      </c>
      <c r="F501" t="s">
        <v>94</v>
      </c>
      <c r="G501" t="s">
        <v>71</v>
      </c>
      <c r="H501" t="s">
        <v>99</v>
      </c>
      <c r="I501">
        <v>5</v>
      </c>
      <c r="J501">
        <v>120</v>
      </c>
      <c r="K501">
        <v>0.1</v>
      </c>
      <c r="L501" t="s">
        <v>50</v>
      </c>
      <c r="M501" t="s">
        <v>107</v>
      </c>
      <c r="N501">
        <v>600</v>
      </c>
      <c r="O501">
        <v>60</v>
      </c>
      <c r="P501">
        <v>540</v>
      </c>
      <c r="Q501">
        <f t="shared" si="21"/>
        <v>2025</v>
      </c>
      <c r="R501">
        <f t="shared" si="22"/>
        <v>12</v>
      </c>
      <c r="S501" t="str">
        <f t="shared" si="23"/>
        <v>December</v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699</v>
      </c>
      <c r="B1" s="1" t="s">
        <v>700</v>
      </c>
    </row>
    <row r="2" spans="1:2">
      <c r="A2" t="s">
        <v>701</v>
      </c>
      <c r="B2">
        <v>500</v>
      </c>
    </row>
    <row r="3" spans="1:2">
      <c r="A3" t="s">
        <v>702</v>
      </c>
      <c r="B3">
        <v>16</v>
      </c>
    </row>
    <row r="4" spans="1:2">
      <c r="A4" t="s">
        <v>703</v>
      </c>
      <c r="B4" t="s">
        <v>704</v>
      </c>
    </row>
    <row r="5" spans="1:2">
      <c r="A5" t="s">
        <v>705</v>
      </c>
      <c r="B5">
        <v>11574620</v>
      </c>
    </row>
    <row r="6" spans="1:2">
      <c r="A6" t="s">
        <v>706</v>
      </c>
      <c r="B6">
        <v>739748.5</v>
      </c>
    </row>
    <row r="7" spans="1:2">
      <c r="A7" t="s">
        <v>707</v>
      </c>
      <c r="B7">
        <v>10834871.5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Project_Info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2026-08-04T09:04:06Z</dcterms:created>
  <dcterms:modified xsi:type="dcterms:W3CDTF">2026-08-04T09:17:17Z</dcterms:modified>
</cp:coreProperties>
</file>